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mohamedhassan/Desktop/"/>
    </mc:Choice>
  </mc:AlternateContent>
  <xr:revisionPtr revIDLastSave="0" documentId="8_{DE1C7F75-E095-A640-8875-8CEB8391BD4E}" xr6:coauthVersionLast="47" xr6:coauthVersionMax="47" xr10:uidLastSave="{00000000-0000-0000-0000-000000000000}"/>
  <bookViews>
    <workbookView xWindow="3180" yWindow="2080" windowWidth="27640" windowHeight="16680" xr2:uid="{5903B203-2B97-2046-A81C-FE637DC2F383}"/>
  </bookViews>
  <sheets>
    <sheet name="Orders Registry" sheetId="1" r:id="rId1"/>
  </sheets>
  <externalReferences>
    <externalReference r:id="rId2"/>
  </externalReferences>
  <definedNames>
    <definedName name="Slicer_Account1">#N/A</definedName>
    <definedName name="Slicer_Month">#N/A</definedName>
    <definedName name="Slicer_Year">#N/A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9" i="1" l="1"/>
  <c r="K79" i="1"/>
  <c r="G79" i="1"/>
  <c r="F79" i="1"/>
  <c r="D79" i="1"/>
  <c r="A79" i="1"/>
  <c r="R78" i="1"/>
  <c r="Q78" i="1"/>
  <c r="P78" i="1"/>
  <c r="O78" i="1"/>
  <c r="M78" i="1"/>
  <c r="L78" i="1"/>
  <c r="I78" i="1"/>
  <c r="H78" i="1"/>
  <c r="C78" i="1"/>
  <c r="B78" i="1"/>
  <c r="O77" i="1"/>
  <c r="Q77" i="1" s="1"/>
  <c r="M77" i="1"/>
  <c r="L77" i="1"/>
  <c r="H77" i="1"/>
  <c r="R77" i="1" s="1"/>
  <c r="C77" i="1"/>
  <c r="B77" i="1"/>
  <c r="P76" i="1"/>
  <c r="O76" i="1"/>
  <c r="R76" i="1" s="1"/>
  <c r="M76" i="1"/>
  <c r="L76" i="1"/>
  <c r="I76" i="1"/>
  <c r="H76" i="1"/>
  <c r="C76" i="1"/>
  <c r="B76" i="1"/>
  <c r="O75" i="1"/>
  <c r="M75" i="1"/>
  <c r="L75" i="1"/>
  <c r="H75" i="1"/>
  <c r="I75" i="1" s="1"/>
  <c r="C75" i="1"/>
  <c r="B75" i="1"/>
  <c r="R74" i="1"/>
  <c r="Q74" i="1"/>
  <c r="P74" i="1"/>
  <c r="O74" i="1"/>
  <c r="M74" i="1"/>
  <c r="L74" i="1"/>
  <c r="I74" i="1"/>
  <c r="H74" i="1"/>
  <c r="C74" i="1"/>
  <c r="B74" i="1"/>
  <c r="O73" i="1"/>
  <c r="Q73" i="1" s="1"/>
  <c r="M73" i="1"/>
  <c r="L73" i="1"/>
  <c r="H73" i="1"/>
  <c r="R73" i="1" s="1"/>
  <c r="C73" i="1"/>
  <c r="B73" i="1"/>
  <c r="P72" i="1"/>
  <c r="O72" i="1"/>
  <c r="R72" i="1" s="1"/>
  <c r="M72" i="1"/>
  <c r="L72" i="1"/>
  <c r="I72" i="1"/>
  <c r="H72" i="1"/>
  <c r="C72" i="1"/>
  <c r="B72" i="1"/>
  <c r="O71" i="1"/>
  <c r="M71" i="1"/>
  <c r="L71" i="1"/>
  <c r="H71" i="1"/>
  <c r="I71" i="1" s="1"/>
  <c r="C71" i="1"/>
  <c r="B71" i="1"/>
  <c r="R70" i="1"/>
  <c r="Q70" i="1"/>
  <c r="P70" i="1"/>
  <c r="O70" i="1"/>
  <c r="M70" i="1"/>
  <c r="L70" i="1"/>
  <c r="I70" i="1"/>
  <c r="H70" i="1"/>
  <c r="C70" i="1"/>
  <c r="B70" i="1"/>
  <c r="R69" i="1"/>
  <c r="O69" i="1"/>
  <c r="Q69" i="1" s="1"/>
  <c r="M69" i="1"/>
  <c r="L69" i="1"/>
  <c r="I69" i="1"/>
  <c r="H69" i="1"/>
  <c r="C69" i="1"/>
  <c r="B69" i="1"/>
  <c r="P68" i="1"/>
  <c r="O68" i="1"/>
  <c r="R68" i="1" s="1"/>
  <c r="M68" i="1"/>
  <c r="L68" i="1"/>
  <c r="I68" i="1"/>
  <c r="H68" i="1"/>
  <c r="C68" i="1"/>
  <c r="B68" i="1"/>
  <c r="O67" i="1"/>
  <c r="M67" i="1"/>
  <c r="L67" i="1"/>
  <c r="H67" i="1"/>
  <c r="I67" i="1" s="1"/>
  <c r="C67" i="1"/>
  <c r="B67" i="1"/>
  <c r="R66" i="1"/>
  <c r="Q66" i="1"/>
  <c r="P66" i="1"/>
  <c r="O66" i="1"/>
  <c r="M66" i="1"/>
  <c r="L66" i="1"/>
  <c r="I66" i="1"/>
  <c r="H66" i="1"/>
  <c r="C66" i="1"/>
  <c r="B66" i="1"/>
  <c r="R65" i="1"/>
  <c r="O65" i="1"/>
  <c r="Q65" i="1" s="1"/>
  <c r="M65" i="1"/>
  <c r="L65" i="1"/>
  <c r="I65" i="1"/>
  <c r="H65" i="1"/>
  <c r="C65" i="1"/>
  <c r="B65" i="1"/>
  <c r="P64" i="1"/>
  <c r="O64" i="1"/>
  <c r="R64" i="1" s="1"/>
  <c r="M64" i="1"/>
  <c r="L64" i="1"/>
  <c r="I64" i="1"/>
  <c r="H64" i="1"/>
  <c r="C64" i="1"/>
  <c r="B64" i="1"/>
  <c r="O63" i="1"/>
  <c r="M63" i="1"/>
  <c r="L63" i="1"/>
  <c r="H63" i="1"/>
  <c r="I63" i="1" s="1"/>
  <c r="C63" i="1"/>
  <c r="B63" i="1"/>
  <c r="R62" i="1"/>
  <c r="Q62" i="1"/>
  <c r="P62" i="1"/>
  <c r="O62" i="1"/>
  <c r="M62" i="1"/>
  <c r="L62" i="1"/>
  <c r="I62" i="1"/>
  <c r="H62" i="1"/>
  <c r="C62" i="1"/>
  <c r="B62" i="1"/>
  <c r="R61" i="1"/>
  <c r="Q61" i="1"/>
  <c r="O61" i="1"/>
  <c r="P61" i="1" s="1"/>
  <c r="M61" i="1"/>
  <c r="L61" i="1"/>
  <c r="I61" i="1"/>
  <c r="H61" i="1"/>
  <c r="C61" i="1"/>
  <c r="B61" i="1"/>
  <c r="P60" i="1"/>
  <c r="O60" i="1"/>
  <c r="R60" i="1" s="1"/>
  <c r="M60" i="1"/>
  <c r="L60" i="1"/>
  <c r="I60" i="1"/>
  <c r="H60" i="1"/>
  <c r="C60" i="1"/>
  <c r="B60" i="1"/>
  <c r="O59" i="1"/>
  <c r="M59" i="1"/>
  <c r="L59" i="1"/>
  <c r="H59" i="1"/>
  <c r="I59" i="1" s="1"/>
  <c r="C59" i="1"/>
  <c r="B59" i="1"/>
  <c r="R58" i="1"/>
  <c r="Q58" i="1"/>
  <c r="P58" i="1"/>
  <c r="O58" i="1"/>
  <c r="M58" i="1"/>
  <c r="L58" i="1"/>
  <c r="I58" i="1"/>
  <c r="H58" i="1"/>
  <c r="C58" i="1"/>
  <c r="B58" i="1"/>
  <c r="R57" i="1"/>
  <c r="Q57" i="1"/>
  <c r="O57" i="1"/>
  <c r="P57" i="1" s="1"/>
  <c r="M57" i="1"/>
  <c r="L57" i="1"/>
  <c r="H57" i="1"/>
  <c r="I57" i="1" s="1"/>
  <c r="C57" i="1"/>
  <c r="B57" i="1"/>
  <c r="O56" i="1"/>
  <c r="R56" i="1" s="1"/>
  <c r="M56" i="1"/>
  <c r="L56" i="1"/>
  <c r="I56" i="1"/>
  <c r="H56" i="1"/>
  <c r="C56" i="1"/>
  <c r="B56" i="1"/>
  <c r="P55" i="1"/>
  <c r="O55" i="1"/>
  <c r="M55" i="1"/>
  <c r="L55" i="1"/>
  <c r="H55" i="1"/>
  <c r="I55" i="1" s="1"/>
  <c r="C55" i="1"/>
  <c r="B55" i="1"/>
  <c r="R54" i="1"/>
  <c r="Q54" i="1"/>
  <c r="P54" i="1"/>
  <c r="O54" i="1"/>
  <c r="M54" i="1"/>
  <c r="L54" i="1"/>
  <c r="H54" i="1"/>
  <c r="I54" i="1" s="1"/>
  <c r="C54" i="1"/>
  <c r="B54" i="1"/>
  <c r="R53" i="1"/>
  <c r="Q53" i="1"/>
  <c r="O53" i="1"/>
  <c r="P53" i="1" s="1"/>
  <c r="M53" i="1"/>
  <c r="L53" i="1"/>
  <c r="H53" i="1"/>
  <c r="I53" i="1" s="1"/>
  <c r="C53" i="1"/>
  <c r="B53" i="1"/>
  <c r="O52" i="1"/>
  <c r="R52" i="1" s="1"/>
  <c r="M52" i="1"/>
  <c r="L52" i="1"/>
  <c r="I52" i="1"/>
  <c r="H52" i="1"/>
  <c r="C52" i="1"/>
  <c r="B52" i="1"/>
  <c r="P51" i="1"/>
  <c r="O51" i="1"/>
  <c r="M51" i="1"/>
  <c r="L51" i="1"/>
  <c r="H51" i="1"/>
  <c r="I51" i="1" s="1"/>
  <c r="C51" i="1"/>
  <c r="B51" i="1"/>
  <c r="R50" i="1"/>
  <c r="Q50" i="1"/>
  <c r="P50" i="1"/>
  <c r="O50" i="1"/>
  <c r="M50" i="1"/>
  <c r="L50" i="1"/>
  <c r="H50" i="1"/>
  <c r="I50" i="1" s="1"/>
  <c r="C50" i="1"/>
  <c r="B50" i="1"/>
  <c r="R49" i="1"/>
  <c r="Q49" i="1"/>
  <c r="O49" i="1"/>
  <c r="P49" i="1" s="1"/>
  <c r="M49" i="1"/>
  <c r="L49" i="1"/>
  <c r="H49" i="1"/>
  <c r="I49" i="1" s="1"/>
  <c r="C49" i="1"/>
  <c r="B49" i="1"/>
  <c r="O48" i="1"/>
  <c r="M48" i="1"/>
  <c r="L48" i="1"/>
  <c r="I48" i="1"/>
  <c r="H48" i="1"/>
  <c r="C48" i="1"/>
  <c r="B48" i="1"/>
  <c r="Q47" i="1"/>
  <c r="P47" i="1"/>
  <c r="O47" i="1"/>
  <c r="R47" i="1" s="1"/>
  <c r="M47" i="1"/>
  <c r="L47" i="1"/>
  <c r="H47" i="1"/>
  <c r="I47" i="1" s="1"/>
  <c r="C47" i="1"/>
  <c r="B47" i="1"/>
  <c r="R46" i="1"/>
  <c r="Q46" i="1"/>
  <c r="P46" i="1"/>
  <c r="O46" i="1"/>
  <c r="M46" i="1"/>
  <c r="L46" i="1"/>
  <c r="H46" i="1"/>
  <c r="I46" i="1" s="1"/>
  <c r="C46" i="1"/>
  <c r="B46" i="1"/>
  <c r="Q45" i="1"/>
  <c r="O45" i="1"/>
  <c r="P45" i="1" s="1"/>
  <c r="M45" i="1"/>
  <c r="L45" i="1"/>
  <c r="H45" i="1"/>
  <c r="I45" i="1" s="1"/>
  <c r="C45" i="1"/>
  <c r="B45" i="1"/>
  <c r="O44" i="1"/>
  <c r="M44" i="1"/>
  <c r="L44" i="1"/>
  <c r="I44" i="1"/>
  <c r="H44" i="1"/>
  <c r="C44" i="1"/>
  <c r="B44" i="1"/>
  <c r="O43" i="1"/>
  <c r="R43" i="1" s="1"/>
  <c r="M43" i="1"/>
  <c r="H43" i="1"/>
  <c r="I43" i="1" s="1"/>
  <c r="L43" i="1" s="1"/>
  <c r="C43" i="1"/>
  <c r="B43" i="1"/>
  <c r="R42" i="1"/>
  <c r="Q42" i="1"/>
  <c r="P42" i="1"/>
  <c r="O42" i="1"/>
  <c r="M42" i="1"/>
  <c r="H42" i="1"/>
  <c r="I42" i="1" s="1"/>
  <c r="L42" i="1" s="1"/>
  <c r="C42" i="1"/>
  <c r="B42" i="1"/>
  <c r="R41" i="1"/>
  <c r="Q41" i="1"/>
  <c r="O41" i="1"/>
  <c r="P41" i="1" s="1"/>
  <c r="M41" i="1"/>
  <c r="I41" i="1"/>
  <c r="L41" i="1" s="1"/>
  <c r="H41" i="1"/>
  <c r="C41" i="1"/>
  <c r="B41" i="1"/>
  <c r="O40" i="1"/>
  <c r="M40" i="1"/>
  <c r="L40" i="1"/>
  <c r="I40" i="1"/>
  <c r="H40" i="1"/>
  <c r="C40" i="1"/>
  <c r="B40" i="1"/>
  <c r="Q39" i="1"/>
  <c r="P39" i="1"/>
  <c r="O39" i="1"/>
  <c r="R39" i="1" s="1"/>
  <c r="M39" i="1"/>
  <c r="H39" i="1"/>
  <c r="I39" i="1" s="1"/>
  <c r="L39" i="1" s="1"/>
  <c r="C39" i="1"/>
  <c r="B39" i="1"/>
  <c r="Q38" i="1"/>
  <c r="P38" i="1"/>
  <c r="O38" i="1"/>
  <c r="M38" i="1"/>
  <c r="H38" i="1"/>
  <c r="I38" i="1" s="1"/>
  <c r="L38" i="1" s="1"/>
  <c r="C38" i="1"/>
  <c r="B38" i="1"/>
  <c r="Q37" i="1"/>
  <c r="O37" i="1"/>
  <c r="P37" i="1" s="1"/>
  <c r="M37" i="1"/>
  <c r="L37" i="1"/>
  <c r="I37" i="1"/>
  <c r="H37" i="1"/>
  <c r="R37" i="1" s="1"/>
  <c r="C37" i="1"/>
  <c r="B37" i="1"/>
  <c r="O36" i="1"/>
  <c r="M36" i="1"/>
  <c r="I36" i="1"/>
  <c r="L36" i="1" s="1"/>
  <c r="H36" i="1"/>
  <c r="C36" i="1"/>
  <c r="B36" i="1"/>
  <c r="Q35" i="1"/>
  <c r="P35" i="1"/>
  <c r="O35" i="1"/>
  <c r="R35" i="1" s="1"/>
  <c r="M35" i="1"/>
  <c r="L35" i="1"/>
  <c r="H35" i="1"/>
  <c r="I35" i="1" s="1"/>
  <c r="C35" i="1"/>
  <c r="B35" i="1"/>
  <c r="Q34" i="1"/>
  <c r="P34" i="1"/>
  <c r="O34" i="1"/>
  <c r="M34" i="1"/>
  <c r="H34" i="1"/>
  <c r="I34" i="1" s="1"/>
  <c r="L34" i="1" s="1"/>
  <c r="C34" i="1"/>
  <c r="B34" i="1"/>
  <c r="Q33" i="1"/>
  <c r="O33" i="1"/>
  <c r="P33" i="1" s="1"/>
  <c r="M33" i="1"/>
  <c r="I33" i="1"/>
  <c r="L33" i="1" s="1"/>
  <c r="H33" i="1"/>
  <c r="R33" i="1" s="1"/>
  <c r="C33" i="1"/>
  <c r="B33" i="1"/>
  <c r="O32" i="1"/>
  <c r="M32" i="1"/>
  <c r="H32" i="1"/>
  <c r="I32" i="1" s="1"/>
  <c r="L32" i="1" s="1"/>
  <c r="C32" i="1"/>
  <c r="B32" i="1"/>
  <c r="Q31" i="1"/>
  <c r="P31" i="1"/>
  <c r="O31" i="1"/>
  <c r="R31" i="1" s="1"/>
  <c r="M31" i="1"/>
  <c r="H31" i="1"/>
  <c r="I31" i="1" s="1"/>
  <c r="L31" i="1" s="1"/>
  <c r="C31" i="1"/>
  <c r="B31" i="1"/>
  <c r="Q30" i="1"/>
  <c r="P30" i="1"/>
  <c r="O30" i="1"/>
  <c r="M30" i="1"/>
  <c r="H30" i="1"/>
  <c r="I30" i="1" s="1"/>
  <c r="L30" i="1" s="1"/>
  <c r="C30" i="1"/>
  <c r="B30" i="1"/>
  <c r="Q29" i="1"/>
  <c r="O29" i="1"/>
  <c r="P29" i="1" s="1"/>
  <c r="M29" i="1"/>
  <c r="I29" i="1"/>
  <c r="L29" i="1" s="1"/>
  <c r="H29" i="1"/>
  <c r="R29" i="1" s="1"/>
  <c r="C29" i="1"/>
  <c r="B29" i="1"/>
  <c r="O28" i="1"/>
  <c r="M28" i="1"/>
  <c r="H28" i="1"/>
  <c r="I28" i="1" s="1"/>
  <c r="L28" i="1" s="1"/>
  <c r="C28" i="1"/>
  <c r="B28" i="1"/>
  <c r="Q27" i="1"/>
  <c r="P27" i="1"/>
  <c r="O27" i="1"/>
  <c r="R27" i="1" s="1"/>
  <c r="M27" i="1"/>
  <c r="H27" i="1"/>
  <c r="I27" i="1" s="1"/>
  <c r="L27" i="1" s="1"/>
  <c r="C27" i="1"/>
  <c r="B27" i="1"/>
  <c r="Q26" i="1"/>
  <c r="O26" i="1"/>
  <c r="P26" i="1" s="1"/>
  <c r="M26" i="1"/>
  <c r="H26" i="1"/>
  <c r="I26" i="1" s="1"/>
  <c r="L26" i="1" s="1"/>
  <c r="C26" i="1"/>
  <c r="B26" i="1"/>
  <c r="Q25" i="1"/>
  <c r="O25" i="1"/>
  <c r="P25" i="1" s="1"/>
  <c r="M25" i="1"/>
  <c r="L25" i="1"/>
  <c r="I25" i="1"/>
  <c r="H25" i="1"/>
  <c r="R25" i="1" s="1"/>
  <c r="C25" i="1"/>
  <c r="B25" i="1"/>
  <c r="O24" i="1"/>
  <c r="M24" i="1"/>
  <c r="H24" i="1"/>
  <c r="I24" i="1" s="1"/>
  <c r="L24" i="1" s="1"/>
  <c r="C24" i="1"/>
  <c r="B24" i="1"/>
  <c r="Q23" i="1"/>
  <c r="P23" i="1"/>
  <c r="O23" i="1"/>
  <c r="R23" i="1" s="1"/>
  <c r="M23" i="1"/>
  <c r="L23" i="1"/>
  <c r="H23" i="1"/>
  <c r="I23" i="1" s="1"/>
  <c r="C23" i="1"/>
  <c r="B23" i="1"/>
  <c r="Q22" i="1"/>
  <c r="O22" i="1"/>
  <c r="P22" i="1" s="1"/>
  <c r="M22" i="1"/>
  <c r="H22" i="1"/>
  <c r="I22" i="1" s="1"/>
  <c r="L22" i="1" s="1"/>
  <c r="C22" i="1"/>
  <c r="B22" i="1"/>
  <c r="Q21" i="1"/>
  <c r="O21" i="1"/>
  <c r="P21" i="1" s="1"/>
  <c r="M21" i="1"/>
  <c r="L21" i="1"/>
  <c r="I21" i="1"/>
  <c r="H21" i="1"/>
  <c r="R21" i="1" s="1"/>
  <c r="C21" i="1"/>
  <c r="B21" i="1"/>
  <c r="P20" i="1"/>
  <c r="O20" i="1"/>
  <c r="M20" i="1"/>
  <c r="L20" i="1"/>
  <c r="I20" i="1"/>
  <c r="H20" i="1"/>
  <c r="C20" i="1"/>
  <c r="B20" i="1"/>
  <c r="O19" i="1"/>
  <c r="R19" i="1" s="1"/>
  <c r="M19" i="1"/>
  <c r="L19" i="1"/>
  <c r="H19" i="1"/>
  <c r="I19" i="1" s="1"/>
  <c r="C19" i="1"/>
  <c r="B19" i="1"/>
  <c r="P18" i="1"/>
  <c r="O18" i="1"/>
  <c r="R18" i="1" s="1"/>
  <c r="M18" i="1"/>
  <c r="H18" i="1"/>
  <c r="I18" i="1" s="1"/>
  <c r="L18" i="1" s="1"/>
  <c r="C18" i="1"/>
  <c r="B18" i="1"/>
  <c r="Q17" i="1"/>
  <c r="O17" i="1"/>
  <c r="P17" i="1" s="1"/>
  <c r="M17" i="1"/>
  <c r="H17" i="1"/>
  <c r="I17" i="1" s="1"/>
  <c r="L17" i="1" s="1"/>
  <c r="C17" i="1"/>
  <c r="B17" i="1"/>
  <c r="P16" i="1"/>
  <c r="O16" i="1"/>
  <c r="M16" i="1"/>
  <c r="H16" i="1"/>
  <c r="I16" i="1" s="1"/>
  <c r="L16" i="1" s="1"/>
  <c r="C16" i="1"/>
  <c r="B16" i="1"/>
  <c r="R15" i="1"/>
  <c r="Q15" i="1"/>
  <c r="O15" i="1"/>
  <c r="P15" i="1" s="1"/>
  <c r="M15" i="1"/>
  <c r="L15" i="1"/>
  <c r="H15" i="1"/>
  <c r="I15" i="1" s="1"/>
  <c r="C15" i="1"/>
  <c r="B15" i="1"/>
  <c r="R14" i="1"/>
  <c r="Q14" i="1"/>
  <c r="P14" i="1"/>
  <c r="O14" i="1"/>
  <c r="M14" i="1"/>
  <c r="H14" i="1"/>
  <c r="I14" i="1" s="1"/>
  <c r="L14" i="1" s="1"/>
  <c r="C14" i="1"/>
  <c r="B14" i="1"/>
  <c r="Q13" i="1"/>
  <c r="O13" i="1"/>
  <c r="P13" i="1" s="1"/>
  <c r="M13" i="1"/>
  <c r="H13" i="1"/>
  <c r="R13" i="1" s="1"/>
  <c r="C13" i="1"/>
  <c r="B13" i="1"/>
  <c r="P12" i="1"/>
  <c r="O12" i="1"/>
  <c r="M12" i="1"/>
  <c r="H12" i="1"/>
  <c r="I12" i="1" s="1"/>
  <c r="L12" i="1" s="1"/>
  <c r="C12" i="1"/>
  <c r="B12" i="1"/>
  <c r="R11" i="1"/>
  <c r="Q11" i="1"/>
  <c r="P11" i="1"/>
  <c r="O11" i="1"/>
  <c r="M11" i="1"/>
  <c r="L11" i="1"/>
  <c r="H11" i="1"/>
  <c r="I11" i="1" s="1"/>
  <c r="C11" i="1"/>
  <c r="B11" i="1"/>
  <c r="Q10" i="1"/>
  <c r="O10" i="1"/>
  <c r="P10" i="1" s="1"/>
  <c r="M10" i="1"/>
  <c r="I10" i="1"/>
  <c r="L10" i="1" s="1"/>
  <c r="H10" i="1"/>
  <c r="R10" i="1" s="1"/>
  <c r="C10" i="1"/>
  <c r="B10" i="1"/>
  <c r="Q9" i="1"/>
  <c r="O9" i="1"/>
  <c r="P9" i="1" s="1"/>
  <c r="M9" i="1"/>
  <c r="H9" i="1"/>
  <c r="I9" i="1" s="1"/>
  <c r="L9" i="1" s="1"/>
  <c r="C9" i="1"/>
  <c r="B9" i="1"/>
  <c r="O8" i="1"/>
  <c r="M8" i="1"/>
  <c r="H8" i="1"/>
  <c r="I8" i="1" s="1"/>
  <c r="L8" i="1" s="1"/>
  <c r="C8" i="1"/>
  <c r="B8" i="1"/>
  <c r="O7" i="1"/>
  <c r="P7" i="1" s="1"/>
  <c r="M7" i="1"/>
  <c r="L7" i="1"/>
  <c r="H7" i="1"/>
  <c r="I7" i="1" s="1"/>
  <c r="C7" i="1"/>
  <c r="B7" i="1"/>
  <c r="Q6" i="1"/>
  <c r="P6" i="1"/>
  <c r="O6" i="1"/>
  <c r="R6" i="1" s="1"/>
  <c r="M6" i="1"/>
  <c r="H6" i="1"/>
  <c r="I6" i="1" s="1"/>
  <c r="L6" i="1" s="1"/>
  <c r="C6" i="1"/>
  <c r="B6" i="1"/>
  <c r="R5" i="1"/>
  <c r="Q5" i="1"/>
  <c r="O5" i="1"/>
  <c r="P5" i="1" s="1"/>
  <c r="M5" i="1"/>
  <c r="L5" i="1"/>
  <c r="I5" i="1"/>
  <c r="H5" i="1"/>
  <c r="C5" i="1"/>
  <c r="B5" i="1"/>
  <c r="P4" i="1"/>
  <c r="O4" i="1"/>
  <c r="M4" i="1"/>
  <c r="L4" i="1"/>
  <c r="I4" i="1"/>
  <c r="H4" i="1"/>
  <c r="C4" i="1"/>
  <c r="B4" i="1"/>
  <c r="V3" i="1"/>
  <c r="Q7" i="1" l="1"/>
  <c r="R8" i="1"/>
  <c r="Q8" i="1"/>
  <c r="I13" i="1"/>
  <c r="L13" i="1" s="1"/>
  <c r="L79" i="1" s="1"/>
  <c r="R17" i="1"/>
  <c r="Q18" i="1"/>
  <c r="P19" i="1"/>
  <c r="H79" i="1"/>
  <c r="R7" i="1"/>
  <c r="P8" i="1"/>
  <c r="Q19" i="1"/>
  <c r="R20" i="1"/>
  <c r="Q20" i="1"/>
  <c r="R40" i="1"/>
  <c r="Q40" i="1"/>
  <c r="P40" i="1"/>
  <c r="Q43" i="1"/>
  <c r="R45" i="1"/>
  <c r="R48" i="1"/>
  <c r="Q48" i="1"/>
  <c r="P48" i="1"/>
  <c r="R51" i="1"/>
  <c r="Q51" i="1"/>
  <c r="R55" i="1"/>
  <c r="Q55" i="1"/>
  <c r="R9" i="1"/>
  <c r="R24" i="1"/>
  <c r="Q24" i="1"/>
  <c r="P24" i="1"/>
  <c r="R28" i="1"/>
  <c r="Q28" i="1"/>
  <c r="P28" i="1"/>
  <c r="R32" i="1"/>
  <c r="Q32" i="1"/>
  <c r="P32" i="1"/>
  <c r="R36" i="1"/>
  <c r="P36" i="1"/>
  <c r="Q36" i="1"/>
  <c r="R59" i="1"/>
  <c r="Q59" i="1"/>
  <c r="R12" i="1"/>
  <c r="Q12" i="1"/>
  <c r="R22" i="1"/>
  <c r="R26" i="1"/>
  <c r="R30" i="1"/>
  <c r="R34" i="1"/>
  <c r="R38" i="1"/>
  <c r="P59" i="1"/>
  <c r="I73" i="1"/>
  <c r="R63" i="1"/>
  <c r="Q63" i="1"/>
  <c r="I77" i="1"/>
  <c r="R4" i="1"/>
  <c r="Q4" i="1"/>
  <c r="O79" i="1"/>
  <c r="P63" i="1"/>
  <c r="R67" i="1"/>
  <c r="Q67" i="1"/>
  <c r="R16" i="1"/>
  <c r="Q16" i="1"/>
  <c r="P67" i="1"/>
  <c r="R71" i="1"/>
  <c r="Q71" i="1"/>
  <c r="P71" i="1"/>
  <c r="R75" i="1"/>
  <c r="Q75" i="1"/>
  <c r="P43" i="1"/>
  <c r="R44" i="1"/>
  <c r="Q44" i="1"/>
  <c r="P44" i="1"/>
  <c r="P75" i="1"/>
  <c r="P52" i="1"/>
  <c r="Q52" i="1"/>
  <c r="Q60" i="1"/>
  <c r="Q72" i="1"/>
  <c r="Q76" i="1"/>
  <c r="P56" i="1"/>
  <c r="Q56" i="1"/>
  <c r="Q64" i="1"/>
  <c r="Q68" i="1"/>
  <c r="P65" i="1"/>
  <c r="P69" i="1"/>
  <c r="P73" i="1"/>
  <c r="P77" i="1"/>
  <c r="P79" i="1" s="1"/>
  <c r="R79" i="1" l="1"/>
  <c r="I79" i="1"/>
  <c r="Q79" i="1"/>
</calcChain>
</file>

<file path=xl/sharedStrings.xml><?xml version="1.0" encoding="utf-8"?>
<sst xmlns="http://schemas.openxmlformats.org/spreadsheetml/2006/main" count="155" uniqueCount="34">
  <si>
    <t>Date</t>
  </si>
  <si>
    <t>Month</t>
  </si>
  <si>
    <t>Year</t>
  </si>
  <si>
    <t>Account</t>
  </si>
  <si>
    <t>Product</t>
  </si>
  <si>
    <t>Qty</t>
  </si>
  <si>
    <t>Price</t>
  </si>
  <si>
    <t>Total Sales</t>
  </si>
  <si>
    <t>Total Sales w VAT</t>
  </si>
  <si>
    <t>Credit Days</t>
  </si>
  <si>
    <t>Payment</t>
  </si>
  <si>
    <t>DueAmount</t>
  </si>
  <si>
    <t>Due Date</t>
  </si>
  <si>
    <t>Paid</t>
  </si>
  <si>
    <t>COGS</t>
  </si>
  <si>
    <t>Total COGS</t>
  </si>
  <si>
    <t>Gross Margin</t>
  </si>
  <si>
    <t>Gross Profit</t>
  </si>
  <si>
    <t>Days Remaining</t>
  </si>
  <si>
    <t>Aamal RM</t>
  </si>
  <si>
    <t>PlekoCrete U420</t>
  </si>
  <si>
    <t>HAIF RM</t>
  </si>
  <si>
    <t>PlekoCrete U410</t>
  </si>
  <si>
    <t>PlekoCrete RT20</t>
  </si>
  <si>
    <t>PlekoCrete U435</t>
  </si>
  <si>
    <t>Phoenix PC</t>
  </si>
  <si>
    <t>PlekoCrete U333</t>
  </si>
  <si>
    <t>PlekoCrete U442</t>
  </si>
  <si>
    <t>MATN RM</t>
  </si>
  <si>
    <t>Haif RM</t>
  </si>
  <si>
    <t>Matn RM</t>
  </si>
  <si>
    <t>Inshaa PC</t>
  </si>
  <si>
    <t>PlekoCrete U320</t>
  </si>
  <si>
    <t>PlekoCrete WP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</si>
</sst>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mm"/>
    <numFmt numFmtId="165" formatCode="yyyy"/>
    <numFmt numFmtId="166" formatCode="_-* #,##0.00_-;\-* #,##0.00_-;_-* &quot;-&quot;??_-;_-@_-"/>
    <numFmt numFmtId="167" formatCode="###0.00\ \ &quot;SAR&quot;"/>
    <numFmt numFmtId="168" formatCode="_-&quot;XDR&quot;* #,##0.00_-;\-&quot;XDR&quot;* #,##0.00_-;_-&quot;XDR&quot;* &quot;-&quot;??_-;_-@_-"/>
    <numFmt numFmtId="169" formatCode="#,##0_)\ &quot;SAR&quot;;\(#,##0\)\ &quot;SAR&quot;"/>
    <numFmt numFmtId="170" formatCode="#,##0.00_)\ &quot;SAR&quot;;\(#,##0.00\)\ &quot;SAR&quot;"/>
  </numFmts>
  <fonts count="5" x14ac:knownFonts="1">
    <font>
      <sz val="11"/>
      <color theme="1"/>
      <name val="Calibri"/>
      <family val="2"/>
      <scheme val="minor"/>
    </font>
    <font>
      <sz val="12"/>
      <color theme="1"/>
      <name val="Calibri"/>
      <family val="2"/>
      <scheme val="minor"/>
    </font>
    <font>
      <sz val="11"/>
      <color theme="1"/>
      <name val="Calibri"/>
      <family val="2"/>
      <scheme val="minor"/>
    </font>
    <font>
      <sz val="11"/>
      <color theme="4"/>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0"/>
      </left>
      <right/>
      <top style="thin">
        <color theme="0"/>
      </top>
      <bottom/>
      <diagonal/>
    </border>
  </borders>
  <cellStyleXfs count="4">
    <xf numFmtId="0" fontId="0" fillId="0" borderId="0"/>
    <xf numFmtId="166" fontId="2" fillId="0" borderId="0" applyFont="0" applyFill="0" applyBorder="0" applyAlignment="0" applyProtection="0"/>
    <xf numFmtId="168" fontId="2" fillId="0" borderId="0" applyFont="0" applyFill="0" applyBorder="0" applyAlignment="0" applyProtection="0"/>
    <xf numFmtId="9" fontId="1" fillId="0" borderId="0" applyFont="0" applyFill="0" applyBorder="0" applyAlignment="0" applyProtection="0"/>
  </cellStyleXfs>
  <cellXfs count="45">
    <xf numFmtId="0" fontId="0" fillId="0" borderId="0" xfId="0"/>
    <xf numFmtId="0" fontId="3" fillId="0" borderId="0" xfId="0" applyFont="1"/>
    <xf numFmtId="0" fontId="4" fillId="0" borderId="0" xfId="0" applyFont="1" applyAlignment="1">
      <alignment horizontal="left" vertical="center"/>
    </xf>
    <xf numFmtId="0" fontId="3" fillId="0" borderId="0" xfId="0" applyFont="1" applyAlignment="1">
      <alignment horizontal="left"/>
    </xf>
    <xf numFmtId="14" fontId="0" fillId="0" borderId="0" xfId="0" applyNumberFormat="1" applyAlignment="1">
      <alignment horizontal="left" vertical="center"/>
    </xf>
    <xf numFmtId="164" fontId="0" fillId="0" borderId="0" xfId="0" applyNumberFormat="1" applyAlignment="1">
      <alignment horizontal="left" vertical="center"/>
    </xf>
    <xf numFmtId="165" fontId="0" fillId="0" borderId="0" xfId="0" applyNumberFormat="1" applyAlignment="1">
      <alignment horizontal="left" vertical="center"/>
    </xf>
    <xf numFmtId="0" fontId="0" fillId="0" borderId="0" xfId="0" applyAlignment="1">
      <alignment horizontal="left" vertical="center"/>
    </xf>
    <xf numFmtId="3" fontId="0" fillId="0" borderId="0" xfId="1" applyNumberFormat="1" applyFont="1" applyFill="1" applyBorder="1" applyAlignment="1">
      <alignment horizontal="left" vertical="center"/>
    </xf>
    <xf numFmtId="167" fontId="0" fillId="0" borderId="0" xfId="0" applyNumberFormat="1" applyAlignment="1">
      <alignment horizontal="left" vertical="center"/>
    </xf>
    <xf numFmtId="169" fontId="0" fillId="0" borderId="0" xfId="2" applyNumberFormat="1" applyFont="1" applyFill="1" applyBorder="1" applyAlignment="1">
      <alignment horizontal="left" vertical="center"/>
    </xf>
    <xf numFmtId="169" fontId="0" fillId="0" borderId="0" xfId="2" applyNumberFormat="1" applyFont="1" applyFill="1" applyAlignment="1">
      <alignment horizontal="left" vertical="center"/>
    </xf>
    <xf numFmtId="15" fontId="0" fillId="0" borderId="0" xfId="0" applyNumberFormat="1" applyAlignment="1">
      <alignment horizontal="left" vertical="center"/>
    </xf>
    <xf numFmtId="0" fontId="0" fillId="0" borderId="0" xfId="0" applyAlignment="1">
      <alignment horizontal="left" vertical="center"/>
      <extLst>
        <ext xmlns:xfpb="http://schemas.microsoft.com/office/spreadsheetml/2022/featurepropertybag" uri="{C7286773-470A-42A8-94C5-96B5CB345126}">
          <xfpb:xfComplement i="0"/>
        </ext>
      </extLst>
    </xf>
    <xf numFmtId="169" fontId="0" fillId="0" borderId="0" xfId="0" applyNumberFormat="1" applyAlignment="1">
      <alignment horizontal="left" vertical="center"/>
    </xf>
    <xf numFmtId="9" fontId="0" fillId="0" borderId="0" xfId="3" applyFont="1" applyFill="1" applyAlignment="1">
      <alignment horizontal="left" vertical="center"/>
    </xf>
    <xf numFmtId="169" fontId="0" fillId="0" borderId="0" xfId="3" applyNumberFormat="1" applyFont="1" applyFill="1" applyAlignment="1">
      <alignment horizontal="left" vertical="center"/>
    </xf>
    <xf numFmtId="14" fontId="0" fillId="0" borderId="1" xfId="0" applyNumberFormat="1" applyBorder="1" applyAlignment="1">
      <alignment horizontal="left" vertical="center"/>
    </xf>
    <xf numFmtId="165" fontId="0" fillId="0" borderId="1" xfId="0" applyNumberFormat="1" applyBorder="1" applyAlignment="1">
      <alignment horizontal="left" vertical="center"/>
    </xf>
    <xf numFmtId="0" fontId="0" fillId="0" borderId="1" xfId="0" applyBorder="1" applyAlignment="1">
      <alignment horizontal="left" vertical="center"/>
    </xf>
    <xf numFmtId="169" fontId="0" fillId="0" borderId="1" xfId="2" applyNumberFormat="1" applyFont="1" applyBorder="1" applyAlignment="1">
      <alignment horizontal="left" vertical="center"/>
    </xf>
    <xf numFmtId="169" fontId="0" fillId="0" borderId="0" xfId="2" applyNumberFormat="1" applyFont="1" applyBorder="1" applyAlignment="1">
      <alignment horizontal="left" vertical="center"/>
    </xf>
    <xf numFmtId="15" fontId="0" fillId="0" borderId="1" xfId="0" applyNumberFormat="1" applyBorder="1" applyAlignment="1">
      <alignment horizontal="left" vertical="center"/>
    </xf>
    <xf numFmtId="0" fontId="0" fillId="0" borderId="1" xfId="0" applyBorder="1" applyAlignment="1">
      <alignment horizontal="left" vertical="center"/>
      <extLst>
        <ext xmlns:xfpb="http://schemas.microsoft.com/office/spreadsheetml/2022/featurepropertybag" uri="{C7286773-470A-42A8-94C5-96B5CB345126}">
          <xfpb:xfComplement i="0"/>
        </ext>
      </extLst>
    </xf>
    <xf numFmtId="9" fontId="0" fillId="0" borderId="0" xfId="3" applyFont="1" applyFill="1" applyBorder="1" applyAlignment="1">
      <alignment horizontal="left" vertical="center"/>
    </xf>
    <xf numFmtId="169" fontId="0" fillId="0" borderId="0" xfId="3" applyNumberFormat="1" applyFont="1" applyFill="1" applyBorder="1" applyAlignment="1">
      <alignment horizontal="left" vertical="center"/>
    </xf>
    <xf numFmtId="14" fontId="0" fillId="0" borderId="2" xfId="0" applyNumberFormat="1" applyBorder="1" applyAlignment="1">
      <alignment horizontal="left" vertical="center"/>
    </xf>
    <xf numFmtId="165" fontId="0" fillId="0" borderId="2" xfId="0" applyNumberFormat="1" applyBorder="1" applyAlignment="1">
      <alignment horizontal="left" vertical="center"/>
    </xf>
    <xf numFmtId="0" fontId="0" fillId="0" borderId="2" xfId="0" applyBorder="1" applyAlignment="1">
      <alignment horizontal="left" vertical="center"/>
    </xf>
    <xf numFmtId="169" fontId="0" fillId="0" borderId="2" xfId="2" applyNumberFormat="1" applyFont="1" applyBorder="1" applyAlignment="1">
      <alignment horizontal="left" vertical="center"/>
    </xf>
    <xf numFmtId="15" fontId="0" fillId="0" borderId="2" xfId="0" applyNumberFormat="1" applyBorder="1" applyAlignment="1">
      <alignment horizontal="left" vertical="center"/>
    </xf>
    <xf numFmtId="0" fontId="0" fillId="0" borderId="2" xfId="0" applyBorder="1" applyAlignment="1">
      <alignment horizontal="left" vertical="center"/>
      <extLst>
        <ext xmlns:xfpb="http://schemas.microsoft.com/office/spreadsheetml/2022/featurepropertybag" uri="{C7286773-470A-42A8-94C5-96B5CB345126}">
          <xfpb:xfComplement i="0"/>
        </ext>
      </extLst>
    </xf>
    <xf numFmtId="14" fontId="0" fillId="0" borderId="3" xfId="0" applyNumberFormat="1" applyBorder="1" applyAlignment="1">
      <alignment horizontal="left" vertical="center"/>
    </xf>
    <xf numFmtId="0" fontId="0" fillId="0" borderId="4" xfId="0" applyBorder="1" applyAlignment="1">
      <alignment horizontal="left" vertical="center"/>
      <extLst>
        <ext xmlns:xfpb="http://schemas.microsoft.com/office/spreadsheetml/2022/featurepropertybag" uri="{C7286773-470A-42A8-94C5-96B5CB345126}">
          <xfpb:xfComplement i="0"/>
        </ext>
      </extLst>
    </xf>
    <xf numFmtId="3" fontId="0" fillId="0" borderId="0" xfId="1" applyNumberFormat="1" applyFont="1" applyFill="1" applyAlignment="1">
      <alignment horizontal="left" vertical="center"/>
    </xf>
    <xf numFmtId="169" fontId="2" fillId="0" borderId="0" xfId="2" applyNumberFormat="1" applyFont="1" applyFill="1" applyAlignment="1">
      <alignment horizontal="left" vertical="center"/>
    </xf>
    <xf numFmtId="0" fontId="2" fillId="0" borderId="0" xfId="0" applyFont="1" applyAlignment="1">
      <alignment horizontal="left" vertical="center"/>
    </xf>
    <xf numFmtId="15" fontId="2" fillId="0" borderId="0" xfId="0" applyNumberFormat="1" applyFont="1" applyAlignment="1">
      <alignment horizontal="left" vertical="center"/>
    </xf>
    <xf numFmtId="0" fontId="2" fillId="0" borderId="0" xfId="0" applyFont="1" applyAlignment="1">
      <alignment horizontal="left" vertical="center"/>
      <extLst>
        <ext xmlns:xfpb="http://schemas.microsoft.com/office/spreadsheetml/2022/featurepropertybag" uri="{C7286773-470A-42A8-94C5-96B5CB345126}">
          <xfpb:xfComplement i="0"/>
        </ext>
      </extLst>
    </xf>
    <xf numFmtId="164" fontId="0" fillId="0" borderId="3" xfId="0" applyNumberFormat="1" applyBorder="1" applyAlignment="1">
      <alignment horizontal="left" vertical="center"/>
    </xf>
    <xf numFmtId="0" fontId="3" fillId="0" borderId="0" xfId="0" applyFont="1" applyAlignment="1">
      <alignment horizontal="left" vertical="center"/>
    </xf>
    <xf numFmtId="169" fontId="3" fillId="0" borderId="0" xfId="2" applyNumberFormat="1" applyFont="1" applyFill="1" applyAlignment="1">
      <alignment horizontal="left" vertical="center"/>
    </xf>
    <xf numFmtId="3" fontId="0" fillId="0" borderId="0" xfId="0" applyNumberFormat="1" applyAlignment="1">
      <alignment horizontal="left" vertical="center"/>
    </xf>
    <xf numFmtId="170" fontId="0" fillId="0" borderId="0" xfId="0" applyNumberFormat="1" applyAlignment="1">
      <alignment horizontal="left" vertical="center"/>
    </xf>
    <xf numFmtId="9" fontId="0" fillId="0" borderId="0" xfId="0" applyNumberFormat="1" applyAlignment="1">
      <alignment horizontal="left" vertical="center"/>
    </xf>
  </cellXfs>
  <cellStyles count="4">
    <cellStyle name="Comma" xfId="1" builtinId="3"/>
    <cellStyle name="Currency" xfId="2" builtinId="4"/>
    <cellStyle name="Normal" xfId="0" builtinId="0"/>
    <cellStyle name="Percent" xfId="3" builtinId="5"/>
  </cellStyles>
  <dxfs count="40">
    <dxf>
      <font>
        <b val="0"/>
        <i val="0"/>
        <strike val="0"/>
        <condense val="0"/>
        <extend val="0"/>
        <outline val="0"/>
        <shadow val="0"/>
        <u val="none"/>
        <vertAlign val="baseline"/>
        <sz val="11"/>
        <color theme="1"/>
        <name val="Calibri"/>
        <family val="2"/>
        <scheme val="minor"/>
      </font>
      <numFmt numFmtId="169" formatCode="#,##0_)\ &quot;SAR&quot;;\(#,##0\)\ &quot;SAR&quot;"/>
      <fill>
        <patternFill patternType="none">
          <fgColor indexed="64"/>
          <bgColor indexed="65"/>
        </patternFill>
      </fill>
      <alignment horizontal="left" vertical="center" textRotation="0" wrapText="0" indent="0" justifyLastLine="0" shrinkToFit="0" readingOrder="0"/>
    </dxf>
    <dxf>
      <numFmt numFmtId="169" formatCode="#,##0_)\ &quot;SAR&quot;;\(#,##0\)\ &quot;SAR&quo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alignment horizontal="left" vertical="center" textRotation="0" wrapText="0" indent="0" justifyLastLine="0" shrinkToFit="0" readingOrder="0"/>
    </dxf>
    <dxf>
      <numFmt numFmtId="13" formatCode="0%"/>
      <alignment horizontal="left" vertical="center" textRotation="0" wrapText="0" indent="0" justifyLastLine="0" shrinkToFit="0" readingOrder="0"/>
    </dxf>
    <dxf>
      <numFmt numFmtId="169" formatCode="#,##0_)\ &quot;SAR&quot;;\(#,##0\)\ &quot;SAR&quot;"/>
      <fill>
        <patternFill patternType="none">
          <fgColor indexed="64"/>
          <bgColor indexed="65"/>
        </patternFill>
      </fill>
      <alignment horizontal="left" vertical="center" textRotation="0" wrapText="0" indent="0" justifyLastLine="0" shrinkToFit="0" readingOrder="0"/>
    </dxf>
    <dxf>
      <numFmt numFmtId="169" formatCode="#,##0_)\ &quot;SAR&quot;;\(#,##0\)\ &quot;SAR&quo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extLst>
        <ext xmlns:xfpb="http://schemas.microsoft.com/office/spreadsheetml/2022/featurepropertybag" uri="{0417FA29-78FA-4A13-93AC-8FF0FAFDF519}">
          <xfpb:DXFComplement i="0"/>
        </ext>
      </extLst>
    </dxf>
    <dxf>
      <numFmt numFmtId="170" formatCode="#,##0.00_)\ &quot;SAR&quot;;\(#,##0.00\)\ &quot;SAR&quo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extLst>
        <ext xmlns:xfpb="http://schemas.microsoft.com/office/spreadsheetml/2022/featurepropertybag" uri="{0417FA29-78FA-4A13-93AC-8FF0FAFDF519}">
          <xfpb:DXFComplement i="1"/>
        </ext>
      </extLst>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0" formatCode="dd\-mmm\-yy"/>
      <fill>
        <patternFill patternType="none">
          <fgColor indexed="64"/>
          <bgColor indexed="65"/>
        </patternFill>
      </fill>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169" formatCode="#,##0_)\ &quot;SAR&quot;;\(#,##0\)\ &quot;SAR&quot;"/>
      <alignment horizontal="left" vertical="center" textRotation="0" wrapText="0" indent="0" justifyLastLine="0" shrinkToFit="0" readingOrder="0"/>
    </dxf>
    <dxf>
      <numFmt numFmtId="169" formatCode="#,##0_)\ &quot;SAR&quot;;\(#,##0\)\ &quot;SAR&quot;"/>
      <fill>
        <patternFill patternType="none">
          <fgColor indexed="64"/>
          <bgColor indexed="65"/>
        </patternFill>
      </fill>
      <alignment horizontal="left" vertical="center" textRotation="0" wrapText="0" indent="0" justifyLastLine="0" shrinkToFit="0" readingOrder="0"/>
    </dxf>
    <dxf>
      <numFmt numFmtId="169" formatCode="#,##0_)\ &quot;SAR&quot;;\(#,##0\)\ &quot;SAR&quo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9" formatCode="#,##0_)\ &quot;SAR&quot;;\(#,##0\)\ &quot;SAR&quot;"/>
      <fill>
        <patternFill patternType="none">
          <fgColor indexed="64"/>
          <bgColor indexed="65"/>
        </patternFill>
      </fill>
      <alignment horizontal="left" vertical="center" textRotation="0" wrapText="0" indent="0" justifyLastLine="0" shrinkToFit="0" readingOrder="0"/>
    </dxf>
    <dxf>
      <numFmt numFmtId="169" formatCode="#,##0_)\ &quot;SAR&quot;;\(#,##0\)\ &quot;SAR&quo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9" formatCode="#,##0_)\ &quot;SAR&quot;;\(#,##0\)\ &quot;SAR&quot;"/>
      <fill>
        <patternFill patternType="none">
          <fgColor indexed="64"/>
          <bgColor indexed="65"/>
        </patternFill>
      </fill>
      <alignment horizontal="left" vertical="center" textRotation="0" wrapText="0" indent="0" justifyLastLine="0" shrinkToFit="0" readingOrder="0"/>
    </dxf>
    <dxf>
      <numFmt numFmtId="169" formatCode="#,##0_)\ &quot;SAR&quot;;\(#,##0\)\ &quot;SAR&quo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0.00\ \ &quot;SAR&quot;"/>
      <fill>
        <patternFill patternType="none">
          <fgColor indexed="64"/>
          <bgColor indexed="65"/>
        </patternFill>
      </fill>
      <alignment horizontal="left" vertical="center" textRotation="0" wrapText="0" indent="0" justifyLastLine="0" shrinkToFit="0" readingOrder="0"/>
    </dxf>
    <dxf>
      <numFmt numFmtId="167" formatCode="###0.00\ \ &quot;SAR&quo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 formatCode="#,##0"/>
      <fill>
        <patternFill patternType="none">
          <fgColor indexed="64"/>
          <bgColor indexed="65"/>
        </patternFill>
      </fill>
      <alignment horizontal="left" vertical="center" textRotation="0" wrapText="0" indent="0" justifyLastLine="0" shrinkToFit="0" readingOrder="0"/>
    </dxf>
    <dxf>
      <numFmt numFmtId="3" formatCode="#,##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yyyy"/>
      <fill>
        <patternFill patternType="none">
          <fgColor indexed="64"/>
          <bgColor indexed="65"/>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1"/>
        <color theme="1"/>
        <name val="Calibri"/>
        <family val="2"/>
        <scheme val="minor"/>
      </font>
      <numFmt numFmtId="164" formatCode="mmmm"/>
      <alignment horizontal="left" vertical="center" textRotation="0" wrapText="0" indent="0" justifyLastLine="0" shrinkToFit="0" readingOrder="0"/>
      <border diagonalUp="0" diagonalDown="0">
        <left/>
        <right style="thin">
          <color theme="0"/>
        </right>
        <top style="thin">
          <color theme="0"/>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10" Type="http://schemas.openxmlformats.org/officeDocument/2006/relationships/calcChain" Target="calcChain.xml"/><Relationship Id="rId4" Type="http://schemas.microsoft.com/office/2007/relationships/slicerCache" Target="slicerCaches/slicerCache2.xml"/><Relationship Id="rId9"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twoCellAnchor editAs="absolute">
    <xdr:from>
      <xdr:col>2</xdr:col>
      <xdr:colOff>431932</xdr:colOff>
      <xdr:row>0</xdr:row>
      <xdr:rowOff>58058</xdr:rowOff>
    </xdr:from>
    <xdr:to>
      <xdr:col>12</xdr:col>
      <xdr:colOff>63888</xdr:colOff>
      <xdr:row>1</xdr:row>
      <xdr:rowOff>53059</xdr:rowOff>
    </xdr:to>
    <mc:AlternateContent xmlns:mc="http://schemas.openxmlformats.org/markup-compatibility/2006">
      <mc:Choice xmlns:sle15="http://schemas.microsoft.com/office/drawing/2012/slicer" Requires="sle15">
        <xdr:graphicFrame macro="">
          <xdr:nvGraphicFramePr>
            <xdr:cNvPr id="2" name="Month">
              <a:extLst>
                <a:ext uri="{FF2B5EF4-FFF2-40B4-BE49-F238E27FC236}">
                  <a16:creationId xmlns:a16="http://schemas.microsoft.com/office/drawing/2014/main" id="{225116CA-28FC-C241-81BF-8FAA8DD8C48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945772" y="58058"/>
              <a:ext cx="8247636" cy="64524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61953</xdr:colOff>
      <xdr:row>1</xdr:row>
      <xdr:rowOff>117325</xdr:rowOff>
    </xdr:from>
    <xdr:to>
      <xdr:col>12</xdr:col>
      <xdr:colOff>57169</xdr:colOff>
      <xdr:row>1</xdr:row>
      <xdr:rowOff>739154</xdr:rowOff>
    </xdr:to>
    <mc:AlternateContent xmlns:mc="http://schemas.openxmlformats.org/markup-compatibility/2006">
      <mc:Choice xmlns:sle15="http://schemas.microsoft.com/office/drawing/2012/slicer" Requires="sle15">
        <xdr:graphicFrame macro="">
          <xdr:nvGraphicFramePr>
            <xdr:cNvPr id="3" name="Account 1">
              <a:extLst>
                <a:ext uri="{FF2B5EF4-FFF2-40B4-BE49-F238E27FC236}">
                  <a16:creationId xmlns:a16="http://schemas.microsoft.com/office/drawing/2014/main" id="{BFE371EC-9A61-CA4F-A985-7D553FBC54FF}"/>
                </a:ext>
              </a:extLst>
            </xdr:cNvPr>
            <xdr:cNvGraphicFramePr/>
          </xdr:nvGraphicFramePr>
          <xdr:xfrm>
            <a:off x="0" y="0"/>
            <a:ext cx="0" cy="0"/>
          </xdr:xfrm>
          <a:graphic>
            <a:graphicData uri="http://schemas.microsoft.com/office/drawing/2010/slicer">
              <sle:slicer xmlns:sle="http://schemas.microsoft.com/office/drawing/2010/slicer" name="Account 1"/>
            </a:graphicData>
          </a:graphic>
        </xdr:graphicFrame>
      </mc:Choice>
      <mc:Fallback>
        <xdr:sp macro="" textlink="">
          <xdr:nvSpPr>
            <xdr:cNvPr id="0" name=""/>
            <xdr:cNvSpPr>
              <a:spLocks noTextEdit="1"/>
            </xdr:cNvSpPr>
          </xdr:nvSpPr>
          <xdr:spPr>
            <a:xfrm>
              <a:off x="61953" y="767565"/>
              <a:ext cx="10124736" cy="62182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71120</xdr:colOff>
      <xdr:row>0</xdr:row>
      <xdr:rowOff>63501</xdr:rowOff>
    </xdr:from>
    <xdr:to>
      <xdr:col>2</xdr:col>
      <xdr:colOff>386080</xdr:colOff>
      <xdr:row>1</xdr:row>
      <xdr:rowOff>50800</xdr:rowOff>
    </xdr:to>
    <mc:AlternateContent xmlns:mc="http://schemas.openxmlformats.org/markup-compatibility/2006">
      <mc:Choice xmlns:sle15="http://schemas.microsoft.com/office/drawing/2012/slicer" Requires="sle15">
        <xdr:graphicFrame macro="">
          <xdr:nvGraphicFramePr>
            <xdr:cNvPr id="4" name="Year">
              <a:extLst>
                <a:ext uri="{FF2B5EF4-FFF2-40B4-BE49-F238E27FC236}">
                  <a16:creationId xmlns:a16="http://schemas.microsoft.com/office/drawing/2014/main" id="{57FAD33E-0702-B84E-9D43-977BD3C6EC2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1120" y="63501"/>
              <a:ext cx="1828800" cy="63753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kkgroupsa-my.sharepoint.com/personal/mohammed_hasan_ikkgroup_com/Documents/REPORTS/WEEKLY%20REPORTS/CRM%20-%20Admixtures%20System-2026-II.xlsx" TargetMode="External"/><Relationship Id="rId1" Type="http://schemas.openxmlformats.org/officeDocument/2006/relationships/externalLinkPath" Target="https://ikkgroupsa-my.sharepoint.com/personal/mohammed_hasan_ikkgroup_com/Documents/REPORTS/WEEKLY%20REPORTS/CRM%20-%20Admixtures%20System-2026-I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ders Registry"/>
      <sheetName val="Dashboard"/>
      <sheetName val="PipeLine_PT"/>
      <sheetName val="Pipeline New"/>
      <sheetName val="AIA"/>
      <sheetName val="Customer Details"/>
      <sheetName val="Pipe"/>
      <sheetName val="Sheet1"/>
      <sheetName val="Forecast"/>
      <sheetName val="DATA"/>
      <sheetName val="YTD SALES &amp; VOLUME BREAKDOWN"/>
      <sheetName val="Forecast Vs Actual"/>
      <sheetName val="YTD SALES BY CUSTOMER"/>
      <sheetName val="Products Showcase"/>
      <sheetName val="Current Month Sales vs Volume "/>
      <sheetName val="2026 budget"/>
      <sheetName val="Profit.margin"/>
      <sheetName val="Sales=Volume-Margin"/>
      <sheetName val="Customer Sha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XFControls"/>
  <bag type="XFComplement">
    <bagId k="XFControls">4</bagId>
  </bag>
  <bag type="DXFComplements" extRef="DXFComplementsMapperExtRef">
    <a k="MappedFeaturePropertyBags">
      <bagId>5</bagId>
      <bagId>2</bagId>
    </a>
  </bag>
</FeaturePropertyBag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55338DF-6D81-A44E-B732-5F624A8FC67D}" sourceName="Month">
  <extLst>
    <x:ext xmlns:x15="http://schemas.microsoft.com/office/spreadsheetml/2010/11/main" uri="{2F2917AC-EB37-4324-AD4E-5DD8C200BD13}">
      <x15:tableSlicerCache tableId="1" column="1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1" xr10:uid="{49066345-16CD-2942-98E2-A29086E21602}" sourceName="Account">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8348C14-CFC6-3C4B-ACB5-795A4F4501C7}" sourceName="Year">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516DC2-04DD-2848-B5A8-945472682DDD}" cache="Slicer_Month" caption="Month" columnCount="8" style="SlicerStyleLight2" rowHeight="230716"/>
  <slicer name="Account 1" xr10:uid="{31D038D1-97A0-9A4E-83BF-535CBADEA223}" cache="Slicer_Account1" caption="Account" columnCount="8" style="SlicerStyleLight6" rowHeight="230716"/>
  <slicer name="Year" xr10:uid="{8C8EFEEE-7E7B-454D-B011-7B7C92AA0E7D}" cache="Slicer_Year" caption="Year" columnCoun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EB441D-F180-7A44-B73A-2A0DBFA9FF52}" name="Table26" displayName="Table26" ref="A3:R79" totalsRowCount="1" headerRowDxfId="37" dataDxfId="36">
  <autoFilter ref="A3:R78" xr:uid="{F155655A-F098-8C4A-B794-18CDDA832E5C}"/>
  <tableColumns count="18">
    <tableColumn id="1" xr3:uid="{6818631C-D5BB-E14A-AC7A-96638543BA49}" name="Date" totalsRowFunction="count" dataDxfId="34" totalsRowDxfId="35"/>
    <tableColumn id="15" xr3:uid="{1C8C7FC6-818B-AF4B-8435-E2B7C87A1180}" name="Month" dataDxfId="32" totalsRowDxfId="33">
      <calculatedColumnFormula>TEXT(Table26[[#This Row],[Date]], "mmmm")</calculatedColumnFormula>
    </tableColumn>
    <tableColumn id="4" xr3:uid="{EC05907B-0C4B-F648-B908-D6E4AF864395}" name="Year" dataDxfId="30" totalsRowDxfId="31">
      <calculatedColumnFormula>TEXT(Table26[[#This Row],[Date]], "yyyy")</calculatedColumnFormula>
    </tableColumn>
    <tableColumn id="5" xr3:uid="{C98AC775-EE50-DF4B-9128-5C5BD73EED43}" name="Account" totalsRowFunction="custom" dataDxfId="28" totalsRowDxfId="29">
      <totalsRowFormula>COUNTA(_xlfn.UNIQUE(INDEX(Table26[Account],0)))</totalsRowFormula>
    </tableColumn>
    <tableColumn id="6" xr3:uid="{377433D1-0736-1845-A5F5-A440B7F698B6}" name="Product" dataDxfId="26" totalsRowDxfId="27"/>
    <tableColumn id="7" xr3:uid="{8B872A17-A080-CA46-B3B9-4D391D2BC0AA}" name="Qty" totalsRowFunction="sum" dataDxfId="24" totalsRowDxfId="25" dataCellStyle="Comma"/>
    <tableColumn id="8" xr3:uid="{AD219556-06A1-9642-8621-2032DB9BA0B1}" name="Price" totalsRowFunction="average" dataDxfId="22" totalsRowDxfId="23"/>
    <tableColumn id="9" xr3:uid="{0BD51BB5-9D44-C941-87E6-50EFE0430992}" name="Total Sales" totalsRowFunction="sum" dataDxfId="20" totalsRowDxfId="21" dataCellStyle="Currency">
      <calculatedColumnFormula>F4*G4</calculatedColumnFormula>
    </tableColumn>
    <tableColumn id="3" xr3:uid="{EBFECD37-3AC4-4245-AB51-CEADABCEA498}" name="Total Sales w VAT" totalsRowFunction="sum" dataDxfId="18" totalsRowDxfId="19" dataCellStyle="Currency">
      <calculatedColumnFormula>Table26[[#This Row],[Total Sales]]*1.15</calculatedColumnFormula>
    </tableColumn>
    <tableColumn id="10" xr3:uid="{5475E410-D5CA-4C43-9A8B-F71FD95D006D}" name="Credit Days" dataDxfId="16" totalsRowDxfId="17"/>
    <tableColumn id="16" xr3:uid="{AF9F19BF-46ED-D04D-87A0-3AC617460A7C}" name="Payment" totalsRowFunction="sum" dataDxfId="14" totalsRowDxfId="15" dataCellStyle="Currency"/>
    <tableColumn id="18" xr3:uid="{1629A2A7-B2DE-5246-8DB9-409F4B336E38}" name="DueAmount" totalsRowFunction="sum" dataDxfId="12" totalsRowDxfId="13">
      <calculatedColumnFormula>IF(TODAY() - Table26[[#This Row],[Date]] &gt; 90,Table26[[#This Row],[Total Sales w VAT]]- Table26[[#This Row],[Payment]], 0)</calculatedColumnFormula>
    </tableColumn>
    <tableColumn id="11" xr3:uid="{7EC72913-4242-824F-96D8-8876D5397145}" name="Due Date" dataDxfId="10" totalsRowDxfId="11">
      <calculatedColumnFormula>A4+(J4-7)</calculatedColumnFormula>
    </tableColumn>
    <tableColumn id="12" xr3:uid="{FF6B85CB-15EC-084A-B22B-0B6EE0B40DB0}" name="Paid" totalsRowFunction="count" dataDxfId="8" totalsRowDxfId="9"/>
    <tableColumn id="13" xr3:uid="{120027BD-106D-FB46-A802-799C53D32541}" name="COGS" totalsRowFunction="average" dataDxfId="6" totalsRowDxfId="7">
      <calculatedColumnFormula>IF(Table26[[#This Row],[Product]]="", "", VLOOKUP(Table26[[#This Row],[Product]], [1]!Table2[#Data], 2, FALSE))</calculatedColumnFormula>
    </tableColumn>
    <tableColumn id="17" xr3:uid="{CEEC81BC-1970-344C-BCDC-5F061E5A8097}" name="Total COGS" totalsRowFunction="sum" dataDxfId="4" totalsRowDxfId="5" dataCellStyle="Currency">
      <calculatedColumnFormula>IF(Table26[[#This Row],[COGS]]="", "", Table26[[#This Row],[COGS]]*Table26[[#This Row],[Qty]])</calculatedColumnFormula>
    </tableColumn>
    <tableColumn id="14" xr3:uid="{4E610884-0B47-FF49-93EF-8DAE80F896CE}" name="Gross Margin" totalsRowFunction="average" dataDxfId="2" totalsRowDxfId="3" dataCellStyle="Percent">
      <calculatedColumnFormula>IF(Table26[[#This Row],[COGS]]="", "", (Table26[[#This Row],[Price]]-Table26[[#This Row],[COGS]])/Table26[[#This Row],[Price]])</calculatedColumnFormula>
    </tableColumn>
    <tableColumn id="2" xr3:uid="{15ABE037-4622-A347-A8F7-FA0E242B0CB4}" name="Gross Profit" totalsRowFunction="sum" dataDxfId="0" totalsRowDxfId="1" dataCellStyle="Percent">
      <calculatedColumnFormula>IF(Table26[[#This Row],[COGS]]="", "", Table26[[#This Row],[Total Sales]]-(Table26[[#This Row],[COGS]]*Table26[[#This Row],[Qty]]))</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A4DFC-CFA0-F44F-A3BE-850A786D30EB}">
  <sheetPr>
    <tabColor theme="4"/>
  </sheetPr>
  <dimension ref="A1:V79"/>
  <sheetViews>
    <sheetView showGridLines="0" tabSelected="1" zoomScale="125" workbookViewId="0">
      <pane ySplit="3" topLeftCell="A8" activePane="bottomLeft" state="frozen"/>
      <selection pane="bottomLeft" activeCell="O21" sqref="O21"/>
    </sheetView>
  </sheetViews>
  <sheetFormatPr baseColWidth="10" defaultColWidth="10.83203125" defaultRowHeight="15" x14ac:dyDescent="0.2"/>
  <cols>
    <col min="1" max="1" width="10.5" style="1" bestFit="1" customWidth="1"/>
    <col min="2" max="2" width="9.33203125" style="1" bestFit="1" customWidth="1"/>
    <col min="3" max="3" width="7.1640625" style="1" bestFit="1" customWidth="1"/>
    <col min="4" max="4" width="10.1640625" style="1" bestFit="1" customWidth="1"/>
    <col min="5" max="5" width="15.6640625" style="1" customWidth="1"/>
    <col min="6" max="6" width="7.6640625" style="1" bestFit="1" customWidth="1"/>
    <col min="7" max="7" width="8.33203125" style="1" bestFit="1" customWidth="1"/>
    <col min="8" max="8" width="11.6640625" style="1" bestFit="1" customWidth="1"/>
    <col min="9" max="9" width="16.83203125" style="1" bestFit="1" customWidth="1"/>
    <col min="10" max="10" width="12.33203125" style="1" bestFit="1" customWidth="1"/>
    <col min="11" max="12" width="11.5" style="1" bestFit="1" customWidth="1"/>
    <col min="13" max="13" width="10.83203125" style="1" bestFit="1" customWidth="1"/>
    <col min="14" max="14" width="7" style="1" bestFit="1" customWidth="1"/>
    <col min="15" max="15" width="8.5" style="1" bestFit="1" customWidth="1"/>
    <col min="16" max="16" width="12" style="1" bestFit="1" customWidth="1"/>
    <col min="17" max="17" width="13.6640625" style="1" bestFit="1" customWidth="1"/>
    <col min="18" max="18" width="12.5" style="1" bestFit="1" customWidth="1"/>
    <col min="19" max="19" width="10.83203125" style="1"/>
    <col min="20" max="20" width="13" style="1" bestFit="1" customWidth="1"/>
    <col min="21" max="16384" width="10.83203125" style="1"/>
  </cols>
  <sheetData>
    <row r="1" spans="1:22" ht="51" customHeight="1" x14ac:dyDescent="0.2"/>
    <row r="2" spans="1:22" ht="90" customHeight="1" x14ac:dyDescent="0.2"/>
    <row r="3" spans="1:22" x14ac:dyDescent="0.2">
      <c r="A3" s="2" t="s">
        <v>0</v>
      </c>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U3" s="1" t="s">
        <v>18</v>
      </c>
      <c r="V3" s="3">
        <f ca="1">NETWORKDAYS.INTL(
   IF(MOD(NOW(),1)&gt;TIME(17,0,0),TODAY()+1,TODAY()),
   EOMONTH(TODAY(),0),
   7
)</f>
        <v>2</v>
      </c>
    </row>
    <row r="4" spans="1:22" x14ac:dyDescent="0.2">
      <c r="A4" s="4">
        <v>45839</v>
      </c>
      <c r="B4" s="5" t="str">
        <f>TEXT(Table26[[#This Row],[Date]], "mmmm")</f>
        <v>July</v>
      </c>
      <c r="C4" s="6" t="str">
        <f>TEXT(Table26[[#This Row],[Date]], "yyyy")</f>
        <v>2025</v>
      </c>
      <c r="D4" s="7" t="s">
        <v>19</v>
      </c>
      <c r="E4" s="7" t="s">
        <v>20</v>
      </c>
      <c r="F4" s="8">
        <v>5000</v>
      </c>
      <c r="G4" s="9">
        <v>1.2</v>
      </c>
      <c r="H4" s="10">
        <f t="shared" ref="H4:H67" si="0">F4*G4</f>
        <v>6000</v>
      </c>
      <c r="I4" s="10">
        <f>Table26[[#This Row],[Total Sales]]*1.15</f>
        <v>6899.9999999999991</v>
      </c>
      <c r="J4" s="7">
        <v>90</v>
      </c>
      <c r="K4" s="11"/>
      <c r="L4" s="7">
        <f ca="1">IF(TODAY() - Table26[[#This Row],[Date]] &gt; 90,Table26[[#This Row],[Total Sales w VAT]]- Table26[[#This Row],[Payment]], 0)</f>
        <v>6899.9999999999991</v>
      </c>
      <c r="M4" s="12">
        <f t="shared" ref="M4:M67" si="1">A4+(J4-7)</f>
        <v>45922</v>
      </c>
      <c r="N4" s="13" t="b">
        <v>0</v>
      </c>
      <c r="O4" s="7">
        <f>IF(Table26[[#This Row],[Product]]="", "", VLOOKUP(Table26[[#This Row],[Product]], [1]!Table2[#Data], 2, FALSE))</f>
        <v>1.07</v>
      </c>
      <c r="P4" s="14">
        <f>IF(Table26[[#This Row],[COGS]]="", "", Table26[[#This Row],[COGS]]*Table26[[#This Row],[Qty]])</f>
        <v>5350</v>
      </c>
      <c r="Q4" s="15">
        <f>IF(Table26[[#This Row],[COGS]]="", "", (Table26[[#This Row],[Price]]-Table26[[#This Row],[COGS]])/Table26[[#This Row],[Price]])</f>
        <v>0.10833333333333325</v>
      </c>
      <c r="R4" s="16">
        <f>IF(Table26[[#This Row],[COGS]]="", "", Table26[[#This Row],[Total Sales]]-(Table26[[#This Row],[COGS]]*Table26[[#This Row],[Qty]]))</f>
        <v>650</v>
      </c>
    </row>
    <row r="5" spans="1:22" x14ac:dyDescent="0.2">
      <c r="A5" s="17">
        <v>45840</v>
      </c>
      <c r="B5" s="5" t="str">
        <f>TEXT(Table26[[#This Row],[Date]], "mmmm")</f>
        <v>July</v>
      </c>
      <c r="C5" s="18" t="str">
        <f>TEXT(Table26[[#This Row],[Date]], "yyyy")</f>
        <v>2025</v>
      </c>
      <c r="D5" s="19" t="s">
        <v>19</v>
      </c>
      <c r="E5" s="19" t="s">
        <v>20</v>
      </c>
      <c r="F5" s="8">
        <v>5000</v>
      </c>
      <c r="G5" s="9">
        <v>1.2</v>
      </c>
      <c r="H5" s="20">
        <f t="shared" si="0"/>
        <v>6000</v>
      </c>
      <c r="I5" s="21">
        <f>Table26[[#This Row],[Total Sales]]*1.15</f>
        <v>6899.9999999999991</v>
      </c>
      <c r="J5" s="7">
        <v>90</v>
      </c>
      <c r="K5" s="11"/>
      <c r="L5" s="7">
        <f ca="1">IF(TODAY() - Table26[[#This Row],[Date]] &gt; 90,Table26[[#This Row],[Total Sales w VAT]]- Table26[[#This Row],[Payment]], 0)</f>
        <v>6899.9999999999991</v>
      </c>
      <c r="M5" s="22">
        <f t="shared" si="1"/>
        <v>45923</v>
      </c>
      <c r="N5" s="23" t="b">
        <v>0</v>
      </c>
      <c r="O5" s="7">
        <f>IF(Table26[[#This Row],[Product]]="", "", VLOOKUP(Table26[[#This Row],[Product]], [1]!Table2[#Data], 2, FALSE))</f>
        <v>1.07</v>
      </c>
      <c r="P5" s="11">
        <f>IF(Table26[[#This Row],[COGS]]="", "", Table26[[#This Row],[COGS]]*Table26[[#This Row],[Qty]])</f>
        <v>5350</v>
      </c>
      <c r="Q5" s="24">
        <f>IF(Table26[[#This Row],[COGS]]="", "", (Table26[[#This Row],[Price]]-Table26[[#This Row],[COGS]])/Table26[[#This Row],[Price]])</f>
        <v>0.10833333333333325</v>
      </c>
      <c r="R5" s="25">
        <f>IF(Table26[[#This Row],[COGS]]="", "", Table26[[#This Row],[Total Sales]]-(Table26[[#This Row],[COGS]]*Table26[[#This Row],[Qty]]))</f>
        <v>650</v>
      </c>
    </row>
    <row r="6" spans="1:22" x14ac:dyDescent="0.2">
      <c r="A6" s="17">
        <v>45852</v>
      </c>
      <c r="B6" s="5" t="str">
        <f>TEXT(Table26[[#This Row],[Date]], "mmmm")</f>
        <v>July</v>
      </c>
      <c r="C6" s="18" t="str">
        <f>TEXT(Table26[[#This Row],[Date]], "yyyy")</f>
        <v>2025</v>
      </c>
      <c r="D6" s="19" t="s">
        <v>19</v>
      </c>
      <c r="E6" s="19" t="s">
        <v>20</v>
      </c>
      <c r="F6" s="8">
        <v>5000</v>
      </c>
      <c r="G6" s="9">
        <v>1.2</v>
      </c>
      <c r="H6" s="20">
        <f t="shared" si="0"/>
        <v>6000</v>
      </c>
      <c r="I6" s="21">
        <f>Table26[[#This Row],[Total Sales]]*1.15</f>
        <v>6899.9999999999991</v>
      </c>
      <c r="J6" s="7">
        <v>90</v>
      </c>
      <c r="K6" s="11"/>
      <c r="L6" s="7">
        <f ca="1">IF(TODAY() - Table26[[#This Row],[Date]] &gt; 90,Table26[[#This Row],[Total Sales w VAT]]- Table26[[#This Row],[Payment]], 0)</f>
        <v>6899.9999999999991</v>
      </c>
      <c r="M6" s="22">
        <f t="shared" si="1"/>
        <v>45935</v>
      </c>
      <c r="N6" s="23" t="b">
        <v>0</v>
      </c>
      <c r="O6" s="7">
        <f>IF(Table26[[#This Row],[Product]]="", "", VLOOKUP(Table26[[#This Row],[Product]], [1]!Table2[#Data], 2, FALSE))</f>
        <v>1.07</v>
      </c>
      <c r="P6" s="11">
        <f>IF(Table26[[#This Row],[COGS]]="", "", Table26[[#This Row],[COGS]]*Table26[[#This Row],[Qty]])</f>
        <v>5350</v>
      </c>
      <c r="Q6" s="24">
        <f>IF(Table26[[#This Row],[COGS]]="", "", (Table26[[#This Row],[Price]]-Table26[[#This Row],[COGS]])/Table26[[#This Row],[Price]])</f>
        <v>0.10833333333333325</v>
      </c>
      <c r="R6" s="25">
        <f>IF(Table26[[#This Row],[COGS]]="", "", Table26[[#This Row],[Total Sales]]-(Table26[[#This Row],[COGS]]*Table26[[#This Row],[Qty]]))</f>
        <v>650</v>
      </c>
    </row>
    <row r="7" spans="1:22" x14ac:dyDescent="0.2">
      <c r="A7" s="26">
        <v>45853</v>
      </c>
      <c r="B7" s="5" t="str">
        <f>TEXT(Table26[[#This Row],[Date]], "mmmm")</f>
        <v>July</v>
      </c>
      <c r="C7" s="27" t="str">
        <f>TEXT(Table26[[#This Row],[Date]], "yyyy")</f>
        <v>2025</v>
      </c>
      <c r="D7" s="28" t="s">
        <v>19</v>
      </c>
      <c r="E7" s="28" t="s">
        <v>20</v>
      </c>
      <c r="F7" s="8">
        <v>5000</v>
      </c>
      <c r="G7" s="9">
        <v>1.2</v>
      </c>
      <c r="H7" s="29">
        <f t="shared" si="0"/>
        <v>6000</v>
      </c>
      <c r="I7" s="21">
        <f>Table26[[#This Row],[Total Sales]]*1.15</f>
        <v>6899.9999999999991</v>
      </c>
      <c r="J7" s="7">
        <v>90</v>
      </c>
      <c r="K7" s="11"/>
      <c r="L7" s="7">
        <f ca="1">IF(TODAY() - Table26[[#This Row],[Date]] &gt; 90,Table26[[#This Row],[Total Sales w VAT]]- Table26[[#This Row],[Payment]], 0)</f>
        <v>6899.9999999999991</v>
      </c>
      <c r="M7" s="30">
        <f t="shared" si="1"/>
        <v>45936</v>
      </c>
      <c r="N7" s="31" t="b">
        <v>0</v>
      </c>
      <c r="O7" s="7">
        <f>IF(Table26[[#This Row],[Product]]="", "", VLOOKUP(Table26[[#This Row],[Product]], [1]!Table2[#Data], 2, FALSE))</f>
        <v>1.07</v>
      </c>
      <c r="P7" s="11">
        <f>IF(Table26[[#This Row],[COGS]]="", "", Table26[[#This Row],[COGS]]*Table26[[#This Row],[Qty]])</f>
        <v>5350</v>
      </c>
      <c r="Q7" s="24">
        <f>IF(Table26[[#This Row],[COGS]]="", "", (Table26[[#This Row],[Price]]-Table26[[#This Row],[COGS]])/Table26[[#This Row],[Price]])</f>
        <v>0.10833333333333325</v>
      </c>
      <c r="R7" s="25">
        <f>IF(Table26[[#This Row],[COGS]]="", "", Table26[[#This Row],[Total Sales]]-(Table26[[#This Row],[COGS]]*Table26[[#This Row],[Qty]]))</f>
        <v>650</v>
      </c>
    </row>
    <row r="8" spans="1:22" x14ac:dyDescent="0.2">
      <c r="A8" s="32">
        <v>45853</v>
      </c>
      <c r="B8" s="5" t="str">
        <f>TEXT(Table26[[#This Row],[Date]], "mmmm")</f>
        <v>July</v>
      </c>
      <c r="C8" s="27" t="str">
        <f>TEXT(Table26[[#This Row],[Date]], "yyyy")</f>
        <v>2025</v>
      </c>
      <c r="D8" s="28" t="s">
        <v>21</v>
      </c>
      <c r="E8" s="28" t="s">
        <v>22</v>
      </c>
      <c r="F8" s="8">
        <v>2000</v>
      </c>
      <c r="G8" s="9">
        <v>1.2</v>
      </c>
      <c r="H8" s="29">
        <f t="shared" si="0"/>
        <v>2400</v>
      </c>
      <c r="I8" s="21">
        <f>Table26[[#This Row],[Total Sales]]*1.15</f>
        <v>2760</v>
      </c>
      <c r="J8" s="7">
        <v>90</v>
      </c>
      <c r="K8" s="11"/>
      <c r="L8" s="7">
        <f ca="1">IF(TODAY() - Table26[[#This Row],[Date]] &gt; 90,Table26[[#This Row],[Total Sales w VAT]]- Table26[[#This Row],[Payment]], 0)</f>
        <v>2760</v>
      </c>
      <c r="M8" s="30">
        <f t="shared" si="1"/>
        <v>45936</v>
      </c>
      <c r="N8" s="33" t="b">
        <v>0</v>
      </c>
      <c r="O8" s="7">
        <f>IF(Table26[[#This Row],[Product]]="", "", VLOOKUP(Table26[[#This Row],[Product]], [1]!Table2[#Data], 2, FALSE))</f>
        <v>0.99</v>
      </c>
      <c r="P8" s="11">
        <f>IF(Table26[[#This Row],[COGS]]="", "", Table26[[#This Row],[COGS]]*Table26[[#This Row],[Qty]])</f>
        <v>1980</v>
      </c>
      <c r="Q8" s="24">
        <f>IF(Table26[[#This Row],[COGS]]="", "", (Table26[[#This Row],[Price]]-Table26[[#This Row],[COGS]])/Table26[[#This Row],[Price]])</f>
        <v>0.17499999999999999</v>
      </c>
      <c r="R8" s="25">
        <f>IF(Table26[[#This Row],[COGS]]="", "", Table26[[#This Row],[Total Sales]]-(Table26[[#This Row],[COGS]]*Table26[[#This Row],[Qty]]))</f>
        <v>420</v>
      </c>
    </row>
    <row r="9" spans="1:22" x14ac:dyDescent="0.2">
      <c r="A9" s="32">
        <v>45853</v>
      </c>
      <c r="B9" s="5" t="str">
        <f>TEXT(Table26[[#This Row],[Date]], "mmmm")</f>
        <v>July</v>
      </c>
      <c r="C9" s="27" t="str">
        <f>TEXT(Table26[[#This Row],[Date]], "yyyy")</f>
        <v>2025</v>
      </c>
      <c r="D9" s="28" t="s">
        <v>21</v>
      </c>
      <c r="E9" s="28" t="s">
        <v>23</v>
      </c>
      <c r="F9" s="8">
        <v>1000</v>
      </c>
      <c r="G9" s="9">
        <v>0.9</v>
      </c>
      <c r="H9" s="29">
        <f t="shared" si="0"/>
        <v>900</v>
      </c>
      <c r="I9" s="21">
        <f>Table26[[#This Row],[Total Sales]]*1.15</f>
        <v>1035</v>
      </c>
      <c r="J9" s="7">
        <v>90</v>
      </c>
      <c r="K9" s="11"/>
      <c r="L9" s="7">
        <f ca="1">IF(TODAY() - Table26[[#This Row],[Date]] &gt; 90,Table26[[#This Row],[Total Sales w VAT]]- Table26[[#This Row],[Payment]], 0)</f>
        <v>1035</v>
      </c>
      <c r="M9" s="30">
        <f t="shared" si="1"/>
        <v>45936</v>
      </c>
      <c r="N9" s="33" t="b">
        <v>0</v>
      </c>
      <c r="O9" s="7">
        <f>IF(Table26[[#This Row],[Product]]="", "", VLOOKUP(Table26[[#This Row],[Product]], [1]!Table2[#Data], 2, FALSE))</f>
        <v>0.57999999999999996</v>
      </c>
      <c r="P9" s="11">
        <f>IF(Table26[[#This Row],[COGS]]="", "", Table26[[#This Row],[COGS]]*Table26[[#This Row],[Qty]])</f>
        <v>580</v>
      </c>
      <c r="Q9" s="24">
        <f>IF(Table26[[#This Row],[COGS]]="", "", (Table26[[#This Row],[Price]]-Table26[[#This Row],[COGS]])/Table26[[#This Row],[Price]])</f>
        <v>0.35555555555555562</v>
      </c>
      <c r="R9" s="25">
        <f>IF(Table26[[#This Row],[COGS]]="", "", Table26[[#This Row],[Total Sales]]-(Table26[[#This Row],[COGS]]*Table26[[#This Row],[Qty]]))</f>
        <v>320</v>
      </c>
    </row>
    <row r="10" spans="1:22" x14ac:dyDescent="0.2">
      <c r="A10" s="32">
        <v>45854</v>
      </c>
      <c r="B10" s="5" t="str">
        <f>TEXT(Table26[[#This Row],[Date]], "mmmm")</f>
        <v>July</v>
      </c>
      <c r="C10" s="27" t="str">
        <f>TEXT(Table26[[#This Row],[Date]], "yyyy")</f>
        <v>2025</v>
      </c>
      <c r="D10" s="28" t="s">
        <v>21</v>
      </c>
      <c r="E10" s="28" t="s">
        <v>23</v>
      </c>
      <c r="F10" s="8">
        <v>1000</v>
      </c>
      <c r="G10" s="9">
        <v>0.9</v>
      </c>
      <c r="H10" s="29">
        <f t="shared" si="0"/>
        <v>900</v>
      </c>
      <c r="I10" s="21">
        <f>Table26[[#This Row],[Total Sales]]*1.15</f>
        <v>1035</v>
      </c>
      <c r="J10" s="7">
        <v>90</v>
      </c>
      <c r="K10" s="11"/>
      <c r="L10" s="7">
        <f ca="1">IF(TODAY() - Table26[[#This Row],[Date]] &gt; 90,Table26[[#This Row],[Total Sales w VAT]]- Table26[[#This Row],[Payment]], 0)</f>
        <v>1035</v>
      </c>
      <c r="M10" s="30">
        <f t="shared" si="1"/>
        <v>45937</v>
      </c>
      <c r="N10" s="33" t="b">
        <v>0</v>
      </c>
      <c r="O10" s="7">
        <f>IF(Table26[[#This Row],[Product]]="", "", VLOOKUP(Table26[[#This Row],[Product]], [1]!Table2[#Data], 2, FALSE))</f>
        <v>0.57999999999999996</v>
      </c>
      <c r="P10" s="11">
        <f>IF(Table26[[#This Row],[COGS]]="", "", Table26[[#This Row],[COGS]]*Table26[[#This Row],[Qty]])</f>
        <v>580</v>
      </c>
      <c r="Q10" s="24">
        <f>IF(Table26[[#This Row],[COGS]]="", "", (Table26[[#This Row],[Price]]-Table26[[#This Row],[COGS]])/Table26[[#This Row],[Price]])</f>
        <v>0.35555555555555562</v>
      </c>
      <c r="R10" s="25">
        <f>IF(Table26[[#This Row],[COGS]]="", "", Table26[[#This Row],[Total Sales]]-(Table26[[#This Row],[COGS]]*Table26[[#This Row],[Qty]]))</f>
        <v>320</v>
      </c>
    </row>
    <row r="11" spans="1:22" x14ac:dyDescent="0.2">
      <c r="A11" s="32">
        <v>45858</v>
      </c>
      <c r="B11" s="5" t="str">
        <f>TEXT(Table26[[#This Row],[Date]], "mmmm")</f>
        <v>July</v>
      </c>
      <c r="C11" s="27" t="str">
        <f>TEXT(Table26[[#This Row],[Date]], "yyyy")</f>
        <v>2025</v>
      </c>
      <c r="D11" s="28" t="s">
        <v>19</v>
      </c>
      <c r="E11" s="28" t="s">
        <v>22</v>
      </c>
      <c r="F11" s="8">
        <v>1000</v>
      </c>
      <c r="G11" s="9">
        <v>1.2</v>
      </c>
      <c r="H11" s="29">
        <f t="shared" si="0"/>
        <v>1200</v>
      </c>
      <c r="I11" s="21">
        <f>Table26[[#This Row],[Total Sales]]*1.15</f>
        <v>1380</v>
      </c>
      <c r="J11" s="7">
        <v>90</v>
      </c>
      <c r="K11" s="11"/>
      <c r="L11" s="7">
        <f ca="1">IF(TODAY() - Table26[[#This Row],[Date]] &gt; 90,Table26[[#This Row],[Total Sales w VAT]]- Table26[[#This Row],[Payment]], 0)</f>
        <v>1380</v>
      </c>
      <c r="M11" s="30">
        <f t="shared" si="1"/>
        <v>45941</v>
      </c>
      <c r="N11" s="33" t="b">
        <v>0</v>
      </c>
      <c r="O11" s="7">
        <f>IF(Table26[[#This Row],[Product]]="", "", VLOOKUP(Table26[[#This Row],[Product]], [1]!Table2[#Data], 2, FALSE))</f>
        <v>0.99</v>
      </c>
      <c r="P11" s="11">
        <f>IF(Table26[[#This Row],[COGS]]="", "", Table26[[#This Row],[COGS]]*Table26[[#This Row],[Qty]])</f>
        <v>990</v>
      </c>
      <c r="Q11" s="24">
        <f>IF(Table26[[#This Row],[COGS]]="", "", (Table26[[#This Row],[Price]]-Table26[[#This Row],[COGS]])/Table26[[#This Row],[Price]])</f>
        <v>0.17499999999999999</v>
      </c>
      <c r="R11" s="25">
        <f>IF(Table26[[#This Row],[COGS]]="", "", Table26[[#This Row],[Total Sales]]-(Table26[[#This Row],[COGS]]*Table26[[#This Row],[Qty]]))</f>
        <v>210</v>
      </c>
    </row>
    <row r="12" spans="1:22" x14ac:dyDescent="0.2">
      <c r="A12" s="32">
        <v>45858</v>
      </c>
      <c r="B12" s="5" t="str">
        <f>TEXT(Table26[[#This Row],[Date]], "mmmm")</f>
        <v>July</v>
      </c>
      <c r="C12" s="27" t="str">
        <f>TEXT(Table26[[#This Row],[Date]], "yyyy")</f>
        <v>2025</v>
      </c>
      <c r="D12" s="28" t="s">
        <v>19</v>
      </c>
      <c r="E12" s="28" t="s">
        <v>24</v>
      </c>
      <c r="F12" s="8">
        <v>5000</v>
      </c>
      <c r="G12" s="9">
        <v>1.2</v>
      </c>
      <c r="H12" s="29">
        <f t="shared" si="0"/>
        <v>6000</v>
      </c>
      <c r="I12" s="21">
        <f>Table26[[#This Row],[Total Sales]]*1.15</f>
        <v>6899.9999999999991</v>
      </c>
      <c r="J12" s="7">
        <v>90</v>
      </c>
      <c r="K12" s="11"/>
      <c r="L12" s="7">
        <f ca="1">IF(TODAY() - Table26[[#This Row],[Date]] &gt; 90,Table26[[#This Row],[Total Sales w VAT]]- Table26[[#This Row],[Payment]], 0)</f>
        <v>6899.9999999999991</v>
      </c>
      <c r="M12" s="30">
        <f t="shared" si="1"/>
        <v>45941</v>
      </c>
      <c r="N12" s="33" t="b">
        <v>0</v>
      </c>
      <c r="O12" s="7">
        <f>IF(Table26[[#This Row],[Product]]="", "", VLOOKUP(Table26[[#This Row],[Product]], [1]!Table2[#Data], 2, FALSE))</f>
        <v>1.06</v>
      </c>
      <c r="P12" s="11">
        <f>IF(Table26[[#This Row],[COGS]]="", "", Table26[[#This Row],[COGS]]*Table26[[#This Row],[Qty]])</f>
        <v>5300</v>
      </c>
      <c r="Q12" s="24">
        <f>IF(Table26[[#This Row],[COGS]]="", "", (Table26[[#This Row],[Price]]-Table26[[#This Row],[COGS]])/Table26[[#This Row],[Price]])</f>
        <v>0.11666666666666659</v>
      </c>
      <c r="R12" s="25">
        <f>IF(Table26[[#This Row],[COGS]]="", "", Table26[[#This Row],[Total Sales]]-(Table26[[#This Row],[COGS]]*Table26[[#This Row],[Qty]]))</f>
        <v>700</v>
      </c>
    </row>
    <row r="13" spans="1:22" x14ac:dyDescent="0.2">
      <c r="A13" s="32">
        <v>45859</v>
      </c>
      <c r="B13" s="5" t="str">
        <f>TEXT(Table26[[#This Row],[Date]], "mmmm")</f>
        <v>July</v>
      </c>
      <c r="C13" s="27" t="str">
        <f>TEXT(Table26[[#This Row],[Date]], "yyyy")</f>
        <v>2025</v>
      </c>
      <c r="D13" s="28" t="s">
        <v>19</v>
      </c>
      <c r="E13" s="28" t="s">
        <v>24</v>
      </c>
      <c r="F13" s="8">
        <v>10000</v>
      </c>
      <c r="G13" s="9">
        <v>1.2</v>
      </c>
      <c r="H13" s="29">
        <f t="shared" si="0"/>
        <v>12000</v>
      </c>
      <c r="I13" s="21">
        <f>Table26[[#This Row],[Total Sales]]*1.15</f>
        <v>13799.999999999998</v>
      </c>
      <c r="J13" s="7">
        <v>90</v>
      </c>
      <c r="K13" s="11"/>
      <c r="L13" s="7">
        <f ca="1">IF(TODAY() - Table26[[#This Row],[Date]] &gt; 90,Table26[[#This Row],[Total Sales w VAT]]- Table26[[#This Row],[Payment]], 0)</f>
        <v>13799.999999999998</v>
      </c>
      <c r="M13" s="30">
        <f t="shared" si="1"/>
        <v>45942</v>
      </c>
      <c r="N13" s="33" t="b">
        <v>0</v>
      </c>
      <c r="O13" s="7">
        <f>IF(Table26[[#This Row],[Product]]="", "", VLOOKUP(Table26[[#This Row],[Product]], [1]!Table2[#Data], 2, FALSE))</f>
        <v>1.06</v>
      </c>
      <c r="P13" s="11">
        <f>IF(Table26[[#This Row],[COGS]]="", "", Table26[[#This Row],[COGS]]*Table26[[#This Row],[Qty]])</f>
        <v>10600</v>
      </c>
      <c r="Q13" s="24">
        <f>IF(Table26[[#This Row],[COGS]]="", "", (Table26[[#This Row],[Price]]-Table26[[#This Row],[COGS]])/Table26[[#This Row],[Price]])</f>
        <v>0.11666666666666659</v>
      </c>
      <c r="R13" s="25">
        <f>IF(Table26[[#This Row],[COGS]]="", "", Table26[[#This Row],[Total Sales]]-(Table26[[#This Row],[COGS]]*Table26[[#This Row],[Qty]]))</f>
        <v>1400</v>
      </c>
    </row>
    <row r="14" spans="1:22" x14ac:dyDescent="0.2">
      <c r="A14" s="32">
        <v>45860</v>
      </c>
      <c r="B14" s="5" t="str">
        <f>TEXT(Table26[[#This Row],[Date]], "mmmm")</f>
        <v>July</v>
      </c>
      <c r="C14" s="27" t="str">
        <f>TEXT(Table26[[#This Row],[Date]], "yyyy")</f>
        <v>2025</v>
      </c>
      <c r="D14" s="28" t="s">
        <v>19</v>
      </c>
      <c r="E14" s="28" t="s">
        <v>24</v>
      </c>
      <c r="F14" s="8">
        <v>10000</v>
      </c>
      <c r="G14" s="9">
        <v>1.2</v>
      </c>
      <c r="H14" s="29">
        <f t="shared" si="0"/>
        <v>12000</v>
      </c>
      <c r="I14" s="21">
        <f>Table26[[#This Row],[Total Sales]]*1.15</f>
        <v>13799.999999999998</v>
      </c>
      <c r="J14" s="7">
        <v>90</v>
      </c>
      <c r="K14" s="11"/>
      <c r="L14" s="7">
        <f ca="1">IF(TODAY() - Table26[[#This Row],[Date]] &gt; 90,Table26[[#This Row],[Total Sales w VAT]]- Table26[[#This Row],[Payment]], 0)</f>
        <v>13799.999999999998</v>
      </c>
      <c r="M14" s="30">
        <f t="shared" si="1"/>
        <v>45943</v>
      </c>
      <c r="N14" s="33" t="b">
        <v>0</v>
      </c>
      <c r="O14" s="7">
        <f>IF(Table26[[#This Row],[Product]]="", "", VLOOKUP(Table26[[#This Row],[Product]], [1]!Table2[#Data], 2, FALSE))</f>
        <v>1.06</v>
      </c>
      <c r="P14" s="11">
        <f>IF(Table26[[#This Row],[COGS]]="", "", Table26[[#This Row],[COGS]]*Table26[[#This Row],[Qty]])</f>
        <v>10600</v>
      </c>
      <c r="Q14" s="24">
        <f>IF(Table26[[#This Row],[COGS]]="", "", (Table26[[#This Row],[Price]]-Table26[[#This Row],[COGS]])/Table26[[#This Row],[Price]])</f>
        <v>0.11666666666666659</v>
      </c>
      <c r="R14" s="25">
        <f>IF(Table26[[#This Row],[COGS]]="", "", Table26[[#This Row],[Total Sales]]-(Table26[[#This Row],[COGS]]*Table26[[#This Row],[Qty]]))</f>
        <v>1400</v>
      </c>
    </row>
    <row r="15" spans="1:22" x14ac:dyDescent="0.2">
      <c r="A15" s="32">
        <v>45866</v>
      </c>
      <c r="B15" s="5" t="str">
        <f>TEXT(Table26[[#This Row],[Date]], "mmmm")</f>
        <v>July</v>
      </c>
      <c r="C15" s="27" t="str">
        <f>TEXT(Table26[[#This Row],[Date]], "yyyy")</f>
        <v>2025</v>
      </c>
      <c r="D15" s="28" t="s">
        <v>21</v>
      </c>
      <c r="E15" s="28" t="s">
        <v>22</v>
      </c>
      <c r="F15" s="8">
        <v>5000</v>
      </c>
      <c r="G15" s="9">
        <v>1.2</v>
      </c>
      <c r="H15" s="29">
        <f t="shared" si="0"/>
        <v>6000</v>
      </c>
      <c r="I15" s="21">
        <f>Table26[[#This Row],[Total Sales]]*1.15</f>
        <v>6899.9999999999991</v>
      </c>
      <c r="J15" s="7">
        <v>90</v>
      </c>
      <c r="K15" s="11"/>
      <c r="L15" s="7">
        <f ca="1">IF(TODAY() - Table26[[#This Row],[Date]] &gt; 90,Table26[[#This Row],[Total Sales w VAT]]- Table26[[#This Row],[Payment]], 0)</f>
        <v>6899.9999999999991</v>
      </c>
      <c r="M15" s="30">
        <f t="shared" si="1"/>
        <v>45949</v>
      </c>
      <c r="N15" s="33" t="b">
        <v>0</v>
      </c>
      <c r="O15" s="7">
        <f>IF(Table26[[#This Row],[Product]]="", "", VLOOKUP(Table26[[#This Row],[Product]], [1]!Table2[#Data], 2, FALSE))</f>
        <v>0.99</v>
      </c>
      <c r="P15" s="11">
        <f>IF(Table26[[#This Row],[COGS]]="", "", Table26[[#This Row],[COGS]]*Table26[[#This Row],[Qty]])</f>
        <v>4950</v>
      </c>
      <c r="Q15" s="24">
        <f>IF(Table26[[#This Row],[COGS]]="", "", (Table26[[#This Row],[Price]]-Table26[[#This Row],[COGS]])/Table26[[#This Row],[Price]])</f>
        <v>0.17499999999999999</v>
      </c>
      <c r="R15" s="25">
        <f>IF(Table26[[#This Row],[COGS]]="", "", Table26[[#This Row],[Total Sales]]-(Table26[[#This Row],[COGS]]*Table26[[#This Row],[Qty]]))</f>
        <v>1050</v>
      </c>
    </row>
    <row r="16" spans="1:22" x14ac:dyDescent="0.2">
      <c r="A16" s="32">
        <v>45866</v>
      </c>
      <c r="B16" s="5" t="str">
        <f>TEXT(Table26[[#This Row],[Date]], "mmmm")</f>
        <v>July</v>
      </c>
      <c r="C16" s="27" t="str">
        <f>TEXT(Table26[[#This Row],[Date]], "yyyy")</f>
        <v>2025</v>
      </c>
      <c r="D16" s="28" t="s">
        <v>21</v>
      </c>
      <c r="E16" s="28" t="s">
        <v>23</v>
      </c>
      <c r="F16" s="8">
        <v>3000</v>
      </c>
      <c r="G16" s="9">
        <v>0.9</v>
      </c>
      <c r="H16" s="29">
        <f t="shared" si="0"/>
        <v>2700</v>
      </c>
      <c r="I16" s="21">
        <f>Table26[[#This Row],[Total Sales]]*1.15</f>
        <v>3104.9999999999995</v>
      </c>
      <c r="J16" s="7">
        <v>90</v>
      </c>
      <c r="K16" s="11"/>
      <c r="L16" s="7">
        <f ca="1">IF(TODAY() - Table26[[#This Row],[Date]] &gt; 90,Table26[[#This Row],[Total Sales w VAT]]- Table26[[#This Row],[Payment]], 0)</f>
        <v>3104.9999999999995</v>
      </c>
      <c r="M16" s="30">
        <f t="shared" si="1"/>
        <v>45949</v>
      </c>
      <c r="N16" s="33" t="b">
        <v>0</v>
      </c>
      <c r="O16" s="7">
        <f>IF(Table26[[#This Row],[Product]]="", "", VLOOKUP(Table26[[#This Row],[Product]], [1]!Table2[#Data], 2, FALSE))</f>
        <v>0.57999999999999996</v>
      </c>
      <c r="P16" s="11">
        <f>IF(Table26[[#This Row],[COGS]]="", "", Table26[[#This Row],[COGS]]*Table26[[#This Row],[Qty]])</f>
        <v>1739.9999999999998</v>
      </c>
      <c r="Q16" s="24">
        <f>IF(Table26[[#This Row],[COGS]]="", "", (Table26[[#This Row],[Price]]-Table26[[#This Row],[COGS]])/Table26[[#This Row],[Price]])</f>
        <v>0.35555555555555562</v>
      </c>
      <c r="R16" s="25">
        <f>IF(Table26[[#This Row],[COGS]]="", "", Table26[[#This Row],[Total Sales]]-(Table26[[#This Row],[COGS]]*Table26[[#This Row],[Qty]]))</f>
        <v>960.00000000000023</v>
      </c>
    </row>
    <row r="17" spans="1:18" x14ac:dyDescent="0.2">
      <c r="A17" s="32">
        <v>45870</v>
      </c>
      <c r="B17" s="5" t="str">
        <f>TEXT(Table26[[#This Row],[Date]], "mmmm")</f>
        <v>August</v>
      </c>
      <c r="C17" s="27" t="str">
        <f>TEXT(Table26[[#This Row],[Date]], "yyyy")</f>
        <v>2025</v>
      </c>
      <c r="D17" s="28" t="s">
        <v>19</v>
      </c>
      <c r="E17" s="28" t="s">
        <v>24</v>
      </c>
      <c r="F17" s="8">
        <v>5000</v>
      </c>
      <c r="G17" s="9">
        <v>1.2</v>
      </c>
      <c r="H17" s="29">
        <f t="shared" si="0"/>
        <v>6000</v>
      </c>
      <c r="I17" s="21">
        <f>Table26[[#This Row],[Total Sales]]*1.15</f>
        <v>6899.9999999999991</v>
      </c>
      <c r="J17" s="7">
        <v>90</v>
      </c>
      <c r="K17" s="11"/>
      <c r="L17" s="7">
        <f ca="1">IF(TODAY() - Table26[[#This Row],[Date]] &gt; 90,Table26[[#This Row],[Total Sales w VAT]]- Table26[[#This Row],[Payment]], 0)</f>
        <v>6899.9999999999991</v>
      </c>
      <c r="M17" s="30">
        <f t="shared" si="1"/>
        <v>45953</v>
      </c>
      <c r="N17" s="33" t="b">
        <v>0</v>
      </c>
      <c r="O17" s="7">
        <f>IF(Table26[[#This Row],[Product]]="", "", VLOOKUP(Table26[[#This Row],[Product]], [1]!Table2[#Data], 2, FALSE))</f>
        <v>1.06</v>
      </c>
      <c r="P17" s="11">
        <f>IF(Table26[[#This Row],[COGS]]="", "", Table26[[#This Row],[COGS]]*Table26[[#This Row],[Qty]])</f>
        <v>5300</v>
      </c>
      <c r="Q17" s="24">
        <f>IF(Table26[[#This Row],[COGS]]="", "", (Table26[[#This Row],[Price]]-Table26[[#This Row],[COGS]])/Table26[[#This Row],[Price]])</f>
        <v>0.11666666666666659</v>
      </c>
      <c r="R17" s="25">
        <f>IF(Table26[[#This Row],[COGS]]="", "", Table26[[#This Row],[Total Sales]]-(Table26[[#This Row],[COGS]]*Table26[[#This Row],[Qty]]))</f>
        <v>700</v>
      </c>
    </row>
    <row r="18" spans="1:18" x14ac:dyDescent="0.2">
      <c r="A18" s="32">
        <v>45879</v>
      </c>
      <c r="B18" s="5" t="str">
        <f>TEXT(Table26[[#This Row],[Date]], "mmmm")</f>
        <v>August</v>
      </c>
      <c r="C18" s="27" t="str">
        <f>TEXT(Table26[[#This Row],[Date]], "yyyy")</f>
        <v>2025</v>
      </c>
      <c r="D18" s="28" t="s">
        <v>25</v>
      </c>
      <c r="E18" s="28" t="s">
        <v>26</v>
      </c>
      <c r="F18" s="8">
        <v>1000</v>
      </c>
      <c r="G18" s="9">
        <v>3</v>
      </c>
      <c r="H18" s="29">
        <f t="shared" si="0"/>
        <v>3000</v>
      </c>
      <c r="I18" s="21">
        <f>Table26[[#This Row],[Total Sales]]*1.15</f>
        <v>3449.9999999999995</v>
      </c>
      <c r="J18" s="7">
        <v>0</v>
      </c>
      <c r="K18" s="11"/>
      <c r="L18" s="7">
        <f ca="1">IF(TODAY() - Table26[[#This Row],[Date]] &gt; 90,Table26[[#This Row],[Total Sales w VAT]]- Table26[[#This Row],[Payment]], 0)</f>
        <v>3449.9999999999995</v>
      </c>
      <c r="M18" s="30">
        <f t="shared" si="1"/>
        <v>45872</v>
      </c>
      <c r="N18" s="33" t="b">
        <v>0</v>
      </c>
      <c r="O18" s="7">
        <f>IF(Table26[[#This Row],[Product]]="", "", VLOOKUP(Table26[[#This Row],[Product]], [1]!Table2[#Data], 2, FALSE))</f>
        <v>1.82</v>
      </c>
      <c r="P18" s="11">
        <f>IF(Table26[[#This Row],[COGS]]="", "", Table26[[#This Row],[COGS]]*Table26[[#This Row],[Qty]])</f>
        <v>1820</v>
      </c>
      <c r="Q18" s="24">
        <f>IF(Table26[[#This Row],[COGS]]="", "", (Table26[[#This Row],[Price]]-Table26[[#This Row],[COGS]])/Table26[[#This Row],[Price]])</f>
        <v>0.39333333333333331</v>
      </c>
      <c r="R18" s="25">
        <f>IF(Table26[[#This Row],[COGS]]="", "", Table26[[#This Row],[Total Sales]]-(Table26[[#This Row],[COGS]]*Table26[[#This Row],[Qty]]))</f>
        <v>1180</v>
      </c>
    </row>
    <row r="19" spans="1:18" x14ac:dyDescent="0.2">
      <c r="A19" s="32">
        <v>45886</v>
      </c>
      <c r="B19" s="5" t="str">
        <f>TEXT(Table26[[#This Row],[Date]], "mmmm")</f>
        <v>August</v>
      </c>
      <c r="C19" s="27" t="str">
        <f>TEXT(Table26[[#This Row],[Date]], "yyyy")</f>
        <v>2025</v>
      </c>
      <c r="D19" s="28" t="s">
        <v>19</v>
      </c>
      <c r="E19" s="28" t="s">
        <v>27</v>
      </c>
      <c r="F19" s="8">
        <v>5000</v>
      </c>
      <c r="G19" s="9">
        <v>1.3</v>
      </c>
      <c r="H19" s="29">
        <f t="shared" si="0"/>
        <v>6500</v>
      </c>
      <c r="I19" s="21">
        <f>Table26[[#This Row],[Total Sales]]*1.15</f>
        <v>7474.9999999999991</v>
      </c>
      <c r="J19" s="7">
        <v>90</v>
      </c>
      <c r="K19" s="11"/>
      <c r="L19" s="7">
        <f ca="1">IF(TODAY() - Table26[[#This Row],[Date]] &gt; 90,Table26[[#This Row],[Total Sales w VAT]]- Table26[[#This Row],[Payment]], 0)</f>
        <v>7474.9999999999991</v>
      </c>
      <c r="M19" s="30">
        <f t="shared" si="1"/>
        <v>45969</v>
      </c>
      <c r="N19" s="33" t="b">
        <v>0</v>
      </c>
      <c r="O19" s="7">
        <f>IF(Table26[[#This Row],[Product]]="", "", VLOOKUP(Table26[[#This Row],[Product]], [1]!Table2[#Data], 2, FALSE))</f>
        <v>1.08</v>
      </c>
      <c r="P19" s="11">
        <f>IF(Table26[[#This Row],[COGS]]="", "", Table26[[#This Row],[COGS]]*Table26[[#This Row],[Qty]])</f>
        <v>5400</v>
      </c>
      <c r="Q19" s="24">
        <f>IF(Table26[[#This Row],[COGS]]="", "", (Table26[[#This Row],[Price]]-Table26[[#This Row],[COGS]])/Table26[[#This Row],[Price]])</f>
        <v>0.16923076923076921</v>
      </c>
      <c r="R19" s="25">
        <f>IF(Table26[[#This Row],[COGS]]="", "", Table26[[#This Row],[Total Sales]]-(Table26[[#This Row],[COGS]]*Table26[[#This Row],[Qty]]))</f>
        <v>1100</v>
      </c>
    </row>
    <row r="20" spans="1:18" x14ac:dyDescent="0.2">
      <c r="A20" s="32">
        <v>45886</v>
      </c>
      <c r="B20" s="5" t="str">
        <f>TEXT(Table26[[#This Row],[Date]], "mmmm")</f>
        <v>August</v>
      </c>
      <c r="C20" s="27" t="str">
        <f>TEXT(Table26[[#This Row],[Date]], "yyyy")</f>
        <v>2025</v>
      </c>
      <c r="D20" s="28" t="s">
        <v>21</v>
      </c>
      <c r="E20" s="28" t="s">
        <v>22</v>
      </c>
      <c r="F20" s="8">
        <v>6000</v>
      </c>
      <c r="G20" s="9">
        <v>1.2</v>
      </c>
      <c r="H20" s="29">
        <f t="shared" si="0"/>
        <v>7200</v>
      </c>
      <c r="I20" s="21">
        <f>Table26[[#This Row],[Total Sales]]*1.15</f>
        <v>8280</v>
      </c>
      <c r="J20" s="7">
        <v>90</v>
      </c>
      <c r="K20" s="11"/>
      <c r="L20" s="7">
        <f ca="1">IF(TODAY() - Table26[[#This Row],[Date]] &gt; 90,Table26[[#This Row],[Total Sales w VAT]]- Table26[[#This Row],[Payment]], 0)</f>
        <v>8280</v>
      </c>
      <c r="M20" s="30">
        <f t="shared" si="1"/>
        <v>45969</v>
      </c>
      <c r="N20" s="33" t="b">
        <v>0</v>
      </c>
      <c r="O20" s="7">
        <f>IF(Table26[[#This Row],[Product]]="", "", VLOOKUP(Table26[[#This Row],[Product]], [1]!Table2[#Data], 2, FALSE))</f>
        <v>0.99</v>
      </c>
      <c r="P20" s="11">
        <f>IF(Table26[[#This Row],[COGS]]="", "", Table26[[#This Row],[COGS]]*Table26[[#This Row],[Qty]])</f>
        <v>5940</v>
      </c>
      <c r="Q20" s="24">
        <f>IF(Table26[[#This Row],[COGS]]="", "", (Table26[[#This Row],[Price]]-Table26[[#This Row],[COGS]])/Table26[[#This Row],[Price]])</f>
        <v>0.17499999999999999</v>
      </c>
      <c r="R20" s="25">
        <f>IF(Table26[[#This Row],[COGS]]="", "", Table26[[#This Row],[Total Sales]]-(Table26[[#This Row],[COGS]]*Table26[[#This Row],[Qty]]))</f>
        <v>1260</v>
      </c>
    </row>
    <row r="21" spans="1:18" x14ac:dyDescent="0.2">
      <c r="A21" s="32">
        <v>45886</v>
      </c>
      <c r="B21" s="5" t="str">
        <f>TEXT(Table26[[#This Row],[Date]], "mmmm")</f>
        <v>August</v>
      </c>
      <c r="C21" s="27" t="str">
        <f>TEXT(Table26[[#This Row],[Date]], "yyyy")</f>
        <v>2025</v>
      </c>
      <c r="D21" s="28" t="s">
        <v>21</v>
      </c>
      <c r="E21" s="28" t="s">
        <v>23</v>
      </c>
      <c r="F21" s="8">
        <v>5000</v>
      </c>
      <c r="G21" s="9">
        <v>0.9</v>
      </c>
      <c r="H21" s="29">
        <f t="shared" si="0"/>
        <v>4500</v>
      </c>
      <c r="I21" s="21">
        <f>Table26[[#This Row],[Total Sales]]*1.15</f>
        <v>5175</v>
      </c>
      <c r="J21" s="7">
        <v>90</v>
      </c>
      <c r="K21" s="11"/>
      <c r="L21" s="7">
        <f ca="1">IF(TODAY() - Table26[[#This Row],[Date]] &gt; 90,Table26[[#This Row],[Total Sales w VAT]]- Table26[[#This Row],[Payment]], 0)</f>
        <v>5175</v>
      </c>
      <c r="M21" s="30">
        <f t="shared" si="1"/>
        <v>45969</v>
      </c>
      <c r="N21" s="33" t="b">
        <v>0</v>
      </c>
      <c r="O21" s="7">
        <f>IF(Table26[[#This Row],[Product]]="", "", VLOOKUP(Table26[[#This Row],[Product]], [1]!Table2[#Data], 2, FALSE))</f>
        <v>0.57999999999999996</v>
      </c>
      <c r="P21" s="11">
        <f>IF(Table26[[#This Row],[COGS]]="", "", Table26[[#This Row],[COGS]]*Table26[[#This Row],[Qty]])</f>
        <v>2900</v>
      </c>
      <c r="Q21" s="24">
        <f>IF(Table26[[#This Row],[COGS]]="", "", (Table26[[#This Row],[Price]]-Table26[[#This Row],[COGS]])/Table26[[#This Row],[Price]])</f>
        <v>0.35555555555555562</v>
      </c>
      <c r="R21" s="25">
        <f>IF(Table26[[#This Row],[COGS]]="", "", Table26[[#This Row],[Total Sales]]-(Table26[[#This Row],[COGS]]*Table26[[#This Row],[Qty]]))</f>
        <v>1600</v>
      </c>
    </row>
    <row r="22" spans="1:18" x14ac:dyDescent="0.2">
      <c r="A22" s="32">
        <v>45886</v>
      </c>
      <c r="B22" s="5" t="str">
        <f>TEXT(Table26[[#This Row],[Date]], "mmmm")</f>
        <v>August</v>
      </c>
      <c r="C22" s="27" t="str">
        <f>TEXT(Table26[[#This Row],[Date]], "yyyy")</f>
        <v>2025</v>
      </c>
      <c r="D22" s="28" t="s">
        <v>28</v>
      </c>
      <c r="E22" s="28" t="s">
        <v>24</v>
      </c>
      <c r="F22" s="8">
        <v>5000</v>
      </c>
      <c r="G22" s="9">
        <v>1.2</v>
      </c>
      <c r="H22" s="29">
        <f t="shared" si="0"/>
        <v>6000</v>
      </c>
      <c r="I22" s="21">
        <f>Table26[[#This Row],[Total Sales]]*1.15</f>
        <v>6899.9999999999991</v>
      </c>
      <c r="J22" s="7">
        <v>90</v>
      </c>
      <c r="K22" s="11"/>
      <c r="L22" s="7">
        <f ca="1">IF(TODAY() - Table26[[#This Row],[Date]] &gt; 90,Table26[[#This Row],[Total Sales w VAT]]- Table26[[#This Row],[Payment]], 0)</f>
        <v>6899.9999999999991</v>
      </c>
      <c r="M22" s="30">
        <f t="shared" si="1"/>
        <v>45969</v>
      </c>
      <c r="N22" s="33" t="b">
        <v>0</v>
      </c>
      <c r="O22" s="7">
        <f>IF(Table26[[#This Row],[Product]]="", "", VLOOKUP(Table26[[#This Row],[Product]], [1]!Table2[#Data], 2, FALSE))</f>
        <v>1.06</v>
      </c>
      <c r="P22" s="11">
        <f>IF(Table26[[#This Row],[COGS]]="", "", Table26[[#This Row],[COGS]]*Table26[[#This Row],[Qty]])</f>
        <v>5300</v>
      </c>
      <c r="Q22" s="24">
        <f>IF(Table26[[#This Row],[COGS]]="", "", (Table26[[#This Row],[Price]]-Table26[[#This Row],[COGS]])/Table26[[#This Row],[Price]])</f>
        <v>0.11666666666666659</v>
      </c>
      <c r="R22" s="25">
        <f>IF(Table26[[#This Row],[COGS]]="", "", Table26[[#This Row],[Total Sales]]-(Table26[[#This Row],[COGS]]*Table26[[#This Row],[Qty]]))</f>
        <v>700</v>
      </c>
    </row>
    <row r="23" spans="1:18" x14ac:dyDescent="0.2">
      <c r="A23" s="32">
        <v>45890</v>
      </c>
      <c r="B23" s="5" t="str">
        <f>TEXT(Table26[[#This Row],[Date]], "mmmm")</f>
        <v>August</v>
      </c>
      <c r="C23" s="27" t="str">
        <f>TEXT(Table26[[#This Row],[Date]], "yyyy")</f>
        <v>2025</v>
      </c>
      <c r="D23" s="28" t="s">
        <v>19</v>
      </c>
      <c r="E23" s="28" t="s">
        <v>27</v>
      </c>
      <c r="F23" s="8">
        <v>5000</v>
      </c>
      <c r="G23" s="9">
        <v>1.3</v>
      </c>
      <c r="H23" s="29">
        <f t="shared" si="0"/>
        <v>6500</v>
      </c>
      <c r="I23" s="21">
        <f>Table26[[#This Row],[Total Sales]]*1.15</f>
        <v>7474.9999999999991</v>
      </c>
      <c r="J23" s="7">
        <v>90</v>
      </c>
      <c r="K23" s="11"/>
      <c r="L23" s="7">
        <f ca="1">IF(TODAY() - Table26[[#This Row],[Date]] &gt; 90,Table26[[#This Row],[Total Sales w VAT]]- Table26[[#This Row],[Payment]], 0)</f>
        <v>7474.9999999999991</v>
      </c>
      <c r="M23" s="30">
        <f t="shared" si="1"/>
        <v>45973</v>
      </c>
      <c r="N23" s="33" t="b">
        <v>0</v>
      </c>
      <c r="O23" s="7">
        <f>IF(Table26[[#This Row],[Product]]="", "", VLOOKUP(Table26[[#This Row],[Product]], [1]!Table2[#Data], 2, FALSE))</f>
        <v>1.08</v>
      </c>
      <c r="P23" s="11">
        <f>IF(Table26[[#This Row],[COGS]]="", "", Table26[[#This Row],[COGS]]*Table26[[#This Row],[Qty]])</f>
        <v>5400</v>
      </c>
      <c r="Q23" s="24">
        <f>IF(Table26[[#This Row],[COGS]]="", "", (Table26[[#This Row],[Price]]-Table26[[#This Row],[COGS]])/Table26[[#This Row],[Price]])</f>
        <v>0.16923076923076921</v>
      </c>
      <c r="R23" s="25">
        <f>IF(Table26[[#This Row],[COGS]]="", "", Table26[[#This Row],[Total Sales]]-(Table26[[#This Row],[COGS]]*Table26[[#This Row],[Qty]]))</f>
        <v>1100</v>
      </c>
    </row>
    <row r="24" spans="1:18" x14ac:dyDescent="0.2">
      <c r="A24" s="32">
        <v>45893</v>
      </c>
      <c r="B24" s="5" t="str">
        <f>TEXT(Table26[[#This Row],[Date]], "mmmm")</f>
        <v>August</v>
      </c>
      <c r="C24" s="27" t="str">
        <f>TEXT(Table26[[#This Row],[Date]], "yyyy")</f>
        <v>2025</v>
      </c>
      <c r="D24" s="28" t="s">
        <v>21</v>
      </c>
      <c r="E24" s="28" t="s">
        <v>22</v>
      </c>
      <c r="F24" s="8">
        <v>5000</v>
      </c>
      <c r="G24" s="9">
        <v>1.2</v>
      </c>
      <c r="H24" s="29">
        <f t="shared" si="0"/>
        <v>6000</v>
      </c>
      <c r="I24" s="21">
        <f>Table26[[#This Row],[Total Sales]]*1.15</f>
        <v>6899.9999999999991</v>
      </c>
      <c r="J24" s="7">
        <v>90</v>
      </c>
      <c r="K24" s="11"/>
      <c r="L24" s="7">
        <f ca="1">IF(TODAY() - Table26[[#This Row],[Date]] &gt; 90,Table26[[#This Row],[Total Sales w VAT]]- Table26[[#This Row],[Payment]], 0)</f>
        <v>6899.9999999999991</v>
      </c>
      <c r="M24" s="30">
        <f t="shared" si="1"/>
        <v>45976</v>
      </c>
      <c r="N24" s="33" t="b">
        <v>0</v>
      </c>
      <c r="O24" s="7">
        <f>IF(Table26[[#This Row],[Product]]="", "", VLOOKUP(Table26[[#This Row],[Product]], [1]!Table2[#Data], 2, FALSE))</f>
        <v>0.99</v>
      </c>
      <c r="P24" s="11">
        <f>IF(Table26[[#This Row],[COGS]]="", "", Table26[[#This Row],[COGS]]*Table26[[#This Row],[Qty]])</f>
        <v>4950</v>
      </c>
      <c r="Q24" s="24">
        <f>IF(Table26[[#This Row],[COGS]]="", "", (Table26[[#This Row],[Price]]-Table26[[#This Row],[COGS]])/Table26[[#This Row],[Price]])</f>
        <v>0.17499999999999999</v>
      </c>
      <c r="R24" s="25">
        <f>IF(Table26[[#This Row],[COGS]]="", "", Table26[[#This Row],[Total Sales]]-(Table26[[#This Row],[COGS]]*Table26[[#This Row],[Qty]]))</f>
        <v>1050</v>
      </c>
    </row>
    <row r="25" spans="1:18" x14ac:dyDescent="0.2">
      <c r="A25" s="32">
        <v>45893</v>
      </c>
      <c r="B25" s="5" t="str">
        <f>TEXT(Table26[[#This Row],[Date]], "mmmm")</f>
        <v>August</v>
      </c>
      <c r="C25" s="27" t="str">
        <f>TEXT(Table26[[#This Row],[Date]], "yyyy")</f>
        <v>2025</v>
      </c>
      <c r="D25" s="28" t="s">
        <v>21</v>
      </c>
      <c r="E25" s="28" t="s">
        <v>23</v>
      </c>
      <c r="F25" s="8">
        <v>4000</v>
      </c>
      <c r="G25" s="9">
        <v>0.9</v>
      </c>
      <c r="H25" s="29">
        <f t="shared" si="0"/>
        <v>3600</v>
      </c>
      <c r="I25" s="21">
        <f>Table26[[#This Row],[Total Sales]]*1.15</f>
        <v>4140</v>
      </c>
      <c r="J25" s="7">
        <v>90</v>
      </c>
      <c r="K25" s="11"/>
      <c r="L25" s="7">
        <f ca="1">IF(TODAY() - Table26[[#This Row],[Date]] &gt; 90,Table26[[#This Row],[Total Sales w VAT]]- Table26[[#This Row],[Payment]], 0)</f>
        <v>4140</v>
      </c>
      <c r="M25" s="30">
        <f t="shared" si="1"/>
        <v>45976</v>
      </c>
      <c r="N25" s="33" t="b">
        <v>0</v>
      </c>
      <c r="O25" s="7">
        <f>IF(Table26[[#This Row],[Product]]="", "", VLOOKUP(Table26[[#This Row],[Product]], [1]!Table2[#Data], 2, FALSE))</f>
        <v>0.57999999999999996</v>
      </c>
      <c r="P25" s="11">
        <f>IF(Table26[[#This Row],[COGS]]="", "", Table26[[#This Row],[COGS]]*Table26[[#This Row],[Qty]])</f>
        <v>2320</v>
      </c>
      <c r="Q25" s="24">
        <f>IF(Table26[[#This Row],[COGS]]="", "", (Table26[[#This Row],[Price]]-Table26[[#This Row],[COGS]])/Table26[[#This Row],[Price]])</f>
        <v>0.35555555555555562</v>
      </c>
      <c r="R25" s="25">
        <f>IF(Table26[[#This Row],[COGS]]="", "", Table26[[#This Row],[Total Sales]]-(Table26[[#This Row],[COGS]]*Table26[[#This Row],[Qty]]))</f>
        <v>1280</v>
      </c>
    </row>
    <row r="26" spans="1:18" x14ac:dyDescent="0.2">
      <c r="A26" s="32">
        <v>45891</v>
      </c>
      <c r="B26" s="5" t="str">
        <f>TEXT(Table26[[#This Row],[Date]], "mmmm")</f>
        <v>August</v>
      </c>
      <c r="C26" s="27" t="str">
        <f>TEXT(Table26[[#This Row],[Date]], "yyyy")</f>
        <v>2025</v>
      </c>
      <c r="D26" s="28" t="s">
        <v>28</v>
      </c>
      <c r="E26" s="28" t="s">
        <v>24</v>
      </c>
      <c r="F26" s="8">
        <v>5000</v>
      </c>
      <c r="G26" s="9">
        <v>1.2</v>
      </c>
      <c r="H26" s="29">
        <f t="shared" si="0"/>
        <v>6000</v>
      </c>
      <c r="I26" s="21">
        <f>Table26[[#This Row],[Total Sales]]*1.15</f>
        <v>6899.9999999999991</v>
      </c>
      <c r="J26" s="7">
        <v>90</v>
      </c>
      <c r="K26" s="11"/>
      <c r="L26" s="7">
        <f ca="1">IF(TODAY() - Table26[[#This Row],[Date]] &gt; 90,Table26[[#This Row],[Total Sales w VAT]]- Table26[[#This Row],[Payment]], 0)</f>
        <v>6899.9999999999991</v>
      </c>
      <c r="M26" s="30">
        <f t="shared" si="1"/>
        <v>45974</v>
      </c>
      <c r="N26" s="33" t="b">
        <v>0</v>
      </c>
      <c r="O26" s="7">
        <f>IF(Table26[[#This Row],[Product]]="", "", VLOOKUP(Table26[[#This Row],[Product]], [1]!Table2[#Data], 2, FALSE))</f>
        <v>1.06</v>
      </c>
      <c r="P26" s="11">
        <f>IF(Table26[[#This Row],[COGS]]="", "", Table26[[#This Row],[COGS]]*Table26[[#This Row],[Qty]])</f>
        <v>5300</v>
      </c>
      <c r="Q26" s="24">
        <f>IF(Table26[[#This Row],[COGS]]="", "", (Table26[[#This Row],[Price]]-Table26[[#This Row],[COGS]])/Table26[[#This Row],[Price]])</f>
        <v>0.11666666666666659</v>
      </c>
      <c r="R26" s="25">
        <f>IF(Table26[[#This Row],[COGS]]="", "", Table26[[#This Row],[Total Sales]]-(Table26[[#This Row],[COGS]]*Table26[[#This Row],[Qty]]))</f>
        <v>700</v>
      </c>
    </row>
    <row r="27" spans="1:18" x14ac:dyDescent="0.2">
      <c r="A27" s="32">
        <v>45893</v>
      </c>
      <c r="B27" s="5" t="str">
        <f>TEXT(Table26[[#This Row],[Date]], "mmmm")</f>
        <v>August</v>
      </c>
      <c r="C27" s="27" t="str">
        <f>TEXT(Table26[[#This Row],[Date]], "yyyy")</f>
        <v>2025</v>
      </c>
      <c r="D27" s="28" t="s">
        <v>19</v>
      </c>
      <c r="E27" s="28" t="s">
        <v>27</v>
      </c>
      <c r="F27" s="8">
        <v>9000</v>
      </c>
      <c r="G27" s="9">
        <v>1.3</v>
      </c>
      <c r="H27" s="29">
        <f t="shared" si="0"/>
        <v>11700</v>
      </c>
      <c r="I27" s="21">
        <f>Table26[[#This Row],[Total Sales]]*1.15</f>
        <v>13454.999999999998</v>
      </c>
      <c r="J27" s="7">
        <v>90</v>
      </c>
      <c r="K27" s="11"/>
      <c r="L27" s="7">
        <f ca="1">IF(TODAY() - Table26[[#This Row],[Date]] &gt; 90,Table26[[#This Row],[Total Sales w VAT]]- Table26[[#This Row],[Payment]], 0)</f>
        <v>13454.999999999998</v>
      </c>
      <c r="M27" s="30">
        <f t="shared" si="1"/>
        <v>45976</v>
      </c>
      <c r="N27" s="33" t="b">
        <v>0</v>
      </c>
      <c r="O27" s="7">
        <f>IF(Table26[[#This Row],[Product]]="", "", VLOOKUP(Table26[[#This Row],[Product]], [1]!Table2[#Data], 2, FALSE))</f>
        <v>1.08</v>
      </c>
      <c r="P27" s="11">
        <f>IF(Table26[[#This Row],[COGS]]="", "", Table26[[#This Row],[COGS]]*Table26[[#This Row],[Qty]])</f>
        <v>9720</v>
      </c>
      <c r="Q27" s="24">
        <f>IF(Table26[[#This Row],[COGS]]="", "", (Table26[[#This Row],[Price]]-Table26[[#This Row],[COGS]])/Table26[[#This Row],[Price]])</f>
        <v>0.16923076923076921</v>
      </c>
      <c r="R27" s="25">
        <f>IF(Table26[[#This Row],[COGS]]="", "", Table26[[#This Row],[Total Sales]]-(Table26[[#This Row],[COGS]]*Table26[[#This Row],[Qty]]))</f>
        <v>1980</v>
      </c>
    </row>
    <row r="28" spans="1:18" x14ac:dyDescent="0.2">
      <c r="A28" s="32">
        <v>45896</v>
      </c>
      <c r="B28" s="5" t="str">
        <f>TEXT(Table26[[#This Row],[Date]], "mmmm")</f>
        <v>August</v>
      </c>
      <c r="C28" s="27" t="str">
        <f>TEXT(Table26[[#This Row],[Date]], "yyyy")</f>
        <v>2025</v>
      </c>
      <c r="D28" s="28" t="s">
        <v>19</v>
      </c>
      <c r="E28" s="28" t="s">
        <v>27</v>
      </c>
      <c r="F28" s="8">
        <v>15000</v>
      </c>
      <c r="G28" s="9">
        <v>1.3</v>
      </c>
      <c r="H28" s="29">
        <f t="shared" si="0"/>
        <v>19500</v>
      </c>
      <c r="I28" s="21">
        <f>Table26[[#This Row],[Total Sales]]*1.15</f>
        <v>22425</v>
      </c>
      <c r="J28" s="7">
        <v>90</v>
      </c>
      <c r="K28" s="11"/>
      <c r="L28" s="7">
        <f ca="1">IF(TODAY() - Table26[[#This Row],[Date]] &gt; 90,Table26[[#This Row],[Total Sales w VAT]]- Table26[[#This Row],[Payment]], 0)</f>
        <v>22425</v>
      </c>
      <c r="M28" s="30">
        <f t="shared" si="1"/>
        <v>45979</v>
      </c>
      <c r="N28" s="33" t="b">
        <v>0</v>
      </c>
      <c r="O28" s="7">
        <f>IF(Table26[[#This Row],[Product]]="", "", VLOOKUP(Table26[[#This Row],[Product]], [1]!Table2[#Data], 2, FALSE))</f>
        <v>1.08</v>
      </c>
      <c r="P28" s="11">
        <f>IF(Table26[[#This Row],[COGS]]="", "", Table26[[#This Row],[COGS]]*Table26[[#This Row],[Qty]])</f>
        <v>16200.000000000002</v>
      </c>
      <c r="Q28" s="24">
        <f>IF(Table26[[#This Row],[COGS]]="", "", (Table26[[#This Row],[Price]]-Table26[[#This Row],[COGS]])/Table26[[#This Row],[Price]])</f>
        <v>0.16923076923076921</v>
      </c>
      <c r="R28" s="25">
        <f>IF(Table26[[#This Row],[COGS]]="", "", Table26[[#This Row],[Total Sales]]-(Table26[[#This Row],[COGS]]*Table26[[#This Row],[Qty]]))</f>
        <v>3299.9999999999982</v>
      </c>
    </row>
    <row r="29" spans="1:18" x14ac:dyDescent="0.2">
      <c r="A29" s="32">
        <v>45900</v>
      </c>
      <c r="B29" s="5" t="str">
        <f>TEXT(Table26[[#This Row],[Date]], "mmmm")</f>
        <v>August</v>
      </c>
      <c r="C29" s="27" t="str">
        <f>TEXT(Table26[[#This Row],[Date]], "yyyy")</f>
        <v>2025</v>
      </c>
      <c r="D29" s="28" t="s">
        <v>19</v>
      </c>
      <c r="E29" s="28" t="s">
        <v>27</v>
      </c>
      <c r="F29" s="8">
        <v>15000</v>
      </c>
      <c r="G29" s="9">
        <v>1.3</v>
      </c>
      <c r="H29" s="29">
        <f t="shared" si="0"/>
        <v>19500</v>
      </c>
      <c r="I29" s="21">
        <f>Table26[[#This Row],[Total Sales]]*1.15</f>
        <v>22425</v>
      </c>
      <c r="J29" s="7">
        <v>90</v>
      </c>
      <c r="K29" s="11"/>
      <c r="L29" s="7">
        <f ca="1">IF(TODAY() - Table26[[#This Row],[Date]] &gt; 90,Table26[[#This Row],[Total Sales w VAT]]- Table26[[#This Row],[Payment]], 0)</f>
        <v>22425</v>
      </c>
      <c r="M29" s="30">
        <f t="shared" si="1"/>
        <v>45983</v>
      </c>
      <c r="N29" s="33" t="b">
        <v>0</v>
      </c>
      <c r="O29" s="7">
        <f>IF(Table26[[#This Row],[Product]]="", "", VLOOKUP(Table26[[#This Row],[Product]], [1]!Table2[#Data], 2, FALSE))</f>
        <v>1.08</v>
      </c>
      <c r="P29" s="11">
        <f>IF(Table26[[#This Row],[COGS]]="", "", Table26[[#This Row],[COGS]]*Table26[[#This Row],[Qty]])</f>
        <v>16200.000000000002</v>
      </c>
      <c r="Q29" s="24">
        <f>IF(Table26[[#This Row],[COGS]]="", "", (Table26[[#This Row],[Price]]-Table26[[#This Row],[COGS]])/Table26[[#This Row],[Price]])</f>
        <v>0.16923076923076921</v>
      </c>
      <c r="R29" s="25">
        <f>IF(Table26[[#This Row],[COGS]]="", "", Table26[[#This Row],[Total Sales]]-(Table26[[#This Row],[COGS]]*Table26[[#This Row],[Qty]]))</f>
        <v>3299.9999999999982</v>
      </c>
    </row>
    <row r="30" spans="1:18" x14ac:dyDescent="0.2">
      <c r="A30" s="32">
        <v>45901</v>
      </c>
      <c r="B30" s="5" t="str">
        <f>TEXT(Table26[[#This Row],[Date]], "mmmm")</f>
        <v>September</v>
      </c>
      <c r="C30" s="27" t="str">
        <f>TEXT(Table26[[#This Row],[Date]], "yyyy")</f>
        <v>2025</v>
      </c>
      <c r="D30" s="28" t="s">
        <v>19</v>
      </c>
      <c r="E30" s="28" t="s">
        <v>27</v>
      </c>
      <c r="F30" s="8">
        <v>10000</v>
      </c>
      <c r="G30" s="9">
        <v>1.3</v>
      </c>
      <c r="H30" s="29">
        <f t="shared" si="0"/>
        <v>13000</v>
      </c>
      <c r="I30" s="21">
        <f>Table26[[#This Row],[Total Sales]]*1.15</f>
        <v>14949.999999999998</v>
      </c>
      <c r="J30" s="7">
        <v>90</v>
      </c>
      <c r="K30" s="11"/>
      <c r="L30" s="7">
        <f ca="1">IF(TODAY() - Table26[[#This Row],[Date]] &gt; 90,Table26[[#This Row],[Total Sales w VAT]]- Table26[[#This Row],[Payment]], 0)</f>
        <v>14949.999999999998</v>
      </c>
      <c r="M30" s="30">
        <f t="shared" si="1"/>
        <v>45984</v>
      </c>
      <c r="N30" s="33" t="b">
        <v>0</v>
      </c>
      <c r="O30" s="7">
        <f>IF(Table26[[#This Row],[Product]]="", "", VLOOKUP(Table26[[#This Row],[Product]], [1]!Table2[#Data], 2, FALSE))</f>
        <v>1.08</v>
      </c>
      <c r="P30" s="11">
        <f>IF(Table26[[#This Row],[COGS]]="", "", Table26[[#This Row],[COGS]]*Table26[[#This Row],[Qty]])</f>
        <v>10800</v>
      </c>
      <c r="Q30" s="24">
        <f>IF(Table26[[#This Row],[COGS]]="", "", (Table26[[#This Row],[Price]]-Table26[[#This Row],[COGS]])/Table26[[#This Row],[Price]])</f>
        <v>0.16923076923076921</v>
      </c>
      <c r="R30" s="25">
        <f>IF(Table26[[#This Row],[COGS]]="", "", Table26[[#This Row],[Total Sales]]-(Table26[[#This Row],[COGS]]*Table26[[#This Row],[Qty]]))</f>
        <v>2200</v>
      </c>
    </row>
    <row r="31" spans="1:18" x14ac:dyDescent="0.2">
      <c r="A31" s="32">
        <v>45910</v>
      </c>
      <c r="B31" s="5" t="str">
        <f>TEXT(Table26[[#This Row],[Date]], "mmmm")</f>
        <v>September</v>
      </c>
      <c r="C31" s="27" t="str">
        <f>TEXT(Table26[[#This Row],[Date]], "yyyy")</f>
        <v>2025</v>
      </c>
      <c r="D31" s="28" t="s">
        <v>19</v>
      </c>
      <c r="E31" s="28" t="s">
        <v>27</v>
      </c>
      <c r="F31" s="8">
        <v>15000</v>
      </c>
      <c r="G31" s="9">
        <v>1.3</v>
      </c>
      <c r="H31" s="29">
        <f t="shared" si="0"/>
        <v>19500</v>
      </c>
      <c r="I31" s="21">
        <f>Table26[[#This Row],[Total Sales]]*1.15</f>
        <v>22425</v>
      </c>
      <c r="J31" s="7">
        <v>90</v>
      </c>
      <c r="K31" s="11"/>
      <c r="L31" s="7">
        <f ca="1">IF(TODAY() - Table26[[#This Row],[Date]] &gt; 90,Table26[[#This Row],[Total Sales w VAT]]- Table26[[#This Row],[Payment]], 0)</f>
        <v>22425</v>
      </c>
      <c r="M31" s="30">
        <f t="shared" si="1"/>
        <v>45993</v>
      </c>
      <c r="N31" s="33" t="b">
        <v>0</v>
      </c>
      <c r="O31" s="7">
        <f>IF(Table26[[#This Row],[Product]]="", "", VLOOKUP(Table26[[#This Row],[Product]], [1]!Table2[#Data], 2, FALSE))</f>
        <v>1.08</v>
      </c>
      <c r="P31" s="11">
        <f>IF(Table26[[#This Row],[COGS]]="", "", Table26[[#This Row],[COGS]]*Table26[[#This Row],[Qty]])</f>
        <v>16200.000000000002</v>
      </c>
      <c r="Q31" s="24">
        <f>IF(Table26[[#This Row],[COGS]]="", "", (Table26[[#This Row],[Price]]-Table26[[#This Row],[COGS]])/Table26[[#This Row],[Price]])</f>
        <v>0.16923076923076921</v>
      </c>
      <c r="R31" s="25">
        <f>IF(Table26[[#This Row],[COGS]]="", "", Table26[[#This Row],[Total Sales]]-(Table26[[#This Row],[COGS]]*Table26[[#This Row],[Qty]]))</f>
        <v>3299.9999999999982</v>
      </c>
    </row>
    <row r="32" spans="1:18" x14ac:dyDescent="0.2">
      <c r="A32" s="4">
        <v>45921</v>
      </c>
      <c r="B32" s="5" t="str">
        <f>TEXT(Table26[[#This Row],[Date]], "mmmm")</f>
        <v>September</v>
      </c>
      <c r="C32" s="6" t="str">
        <f>TEXT(Table26[[#This Row],[Date]], "yyyy")</f>
        <v>2025</v>
      </c>
      <c r="D32" s="28" t="s">
        <v>19</v>
      </c>
      <c r="E32" s="7" t="s">
        <v>27</v>
      </c>
      <c r="F32" s="8">
        <v>15000</v>
      </c>
      <c r="G32" s="9">
        <v>1.3</v>
      </c>
      <c r="H32" s="10">
        <f t="shared" si="0"/>
        <v>19500</v>
      </c>
      <c r="I32" s="10">
        <f>Table26[[#This Row],[Total Sales]]*1.15</f>
        <v>22425</v>
      </c>
      <c r="J32" s="7">
        <v>90</v>
      </c>
      <c r="K32" s="11"/>
      <c r="L32" s="7">
        <f ca="1">IF(TODAY() - Table26[[#This Row],[Date]] &gt; 90,Table26[[#This Row],[Total Sales w VAT]]- Table26[[#This Row],[Payment]], 0)</f>
        <v>22425</v>
      </c>
      <c r="M32" s="12">
        <f t="shared" si="1"/>
        <v>46004</v>
      </c>
      <c r="N32" s="13" t="b">
        <v>0</v>
      </c>
      <c r="O32" s="7">
        <f>IF(Table26[[#This Row],[Product]]="", "", VLOOKUP(Table26[[#This Row],[Product]], [1]!Table2[#Data], 2, FALSE))</f>
        <v>1.08</v>
      </c>
      <c r="P32" s="11">
        <f>IF(Table26[[#This Row],[COGS]]="", "", Table26[[#This Row],[COGS]]*Table26[[#This Row],[Qty]])</f>
        <v>16200.000000000002</v>
      </c>
      <c r="Q32" s="15">
        <f>IF(Table26[[#This Row],[COGS]]="", "", (Table26[[#This Row],[Price]]-Table26[[#This Row],[COGS]])/Table26[[#This Row],[Price]])</f>
        <v>0.16923076923076921</v>
      </c>
      <c r="R32" s="16">
        <f>IF(Table26[[#This Row],[COGS]]="", "", Table26[[#This Row],[Total Sales]]-(Table26[[#This Row],[COGS]]*Table26[[#This Row],[Qty]]))</f>
        <v>3299.9999999999982</v>
      </c>
    </row>
    <row r="33" spans="1:18" x14ac:dyDescent="0.2">
      <c r="A33" s="4">
        <v>45928</v>
      </c>
      <c r="B33" s="5" t="str">
        <f>TEXT(Table26[[#This Row],[Date]], "mmmm")</f>
        <v>September</v>
      </c>
      <c r="C33" s="6" t="str">
        <f>TEXT(Table26[[#This Row],[Date]], "yyyy")</f>
        <v>2025</v>
      </c>
      <c r="D33" s="7" t="s">
        <v>19</v>
      </c>
      <c r="E33" s="7" t="s">
        <v>27</v>
      </c>
      <c r="F33" s="34">
        <v>20000</v>
      </c>
      <c r="G33" s="9">
        <v>1.3</v>
      </c>
      <c r="H33" s="11">
        <f t="shared" si="0"/>
        <v>26000</v>
      </c>
      <c r="I33" s="11">
        <f>Table26[[#This Row],[Total Sales]]*1.15</f>
        <v>29899.999999999996</v>
      </c>
      <c r="J33" s="7">
        <v>90</v>
      </c>
      <c r="K33" s="11"/>
      <c r="L33" s="7">
        <f ca="1">IF(TODAY() - Table26[[#This Row],[Date]] &gt; 90,Table26[[#This Row],[Total Sales w VAT]]- Table26[[#This Row],[Payment]], 0)</f>
        <v>29899.999999999996</v>
      </c>
      <c r="M33" s="12">
        <f t="shared" si="1"/>
        <v>46011</v>
      </c>
      <c r="N33" s="13" t="b">
        <v>0</v>
      </c>
      <c r="O33" s="7">
        <f>IF(Table26[[#This Row],[Product]]="", "", VLOOKUP(Table26[[#This Row],[Product]], [1]!Table2[#Data], 2, FALSE))</f>
        <v>1.08</v>
      </c>
      <c r="P33" s="11">
        <f>IF(Table26[[#This Row],[COGS]]="", "", Table26[[#This Row],[COGS]]*Table26[[#This Row],[Qty]])</f>
        <v>21600</v>
      </c>
      <c r="Q33" s="15">
        <f>IF(Table26[[#This Row],[COGS]]="", "", (Table26[[#This Row],[Price]]-Table26[[#This Row],[COGS]])/Table26[[#This Row],[Price]])</f>
        <v>0.16923076923076921</v>
      </c>
      <c r="R33" s="16">
        <f>IF(Table26[[#This Row],[COGS]]="", "", Table26[[#This Row],[Total Sales]]-(Table26[[#This Row],[COGS]]*Table26[[#This Row],[Qty]]))</f>
        <v>4400</v>
      </c>
    </row>
    <row r="34" spans="1:18" x14ac:dyDescent="0.2">
      <c r="A34" s="4">
        <v>45929</v>
      </c>
      <c r="B34" s="5" t="str">
        <f>TEXT(Table26[[#This Row],[Date]], "mmmm")</f>
        <v>September</v>
      </c>
      <c r="C34" s="6" t="str">
        <f>TEXT(Table26[[#This Row],[Date]], "yyyy")</f>
        <v>2025</v>
      </c>
      <c r="D34" s="7" t="s">
        <v>29</v>
      </c>
      <c r="E34" s="7" t="s">
        <v>23</v>
      </c>
      <c r="F34" s="34">
        <v>5000</v>
      </c>
      <c r="G34" s="9">
        <v>0.9</v>
      </c>
      <c r="H34" s="11">
        <f t="shared" si="0"/>
        <v>4500</v>
      </c>
      <c r="I34" s="11">
        <f>Table26[[#This Row],[Total Sales]]*1.15</f>
        <v>5175</v>
      </c>
      <c r="J34" s="7">
        <v>90</v>
      </c>
      <c r="K34" s="11"/>
      <c r="L34" s="7">
        <f ca="1">IF(TODAY() - Table26[[#This Row],[Date]] &gt; 90,Table26[[#This Row],[Total Sales w VAT]]- Table26[[#This Row],[Payment]], 0)</f>
        <v>5175</v>
      </c>
      <c r="M34" s="12">
        <f t="shared" si="1"/>
        <v>46012</v>
      </c>
      <c r="N34" s="13" t="b">
        <v>0</v>
      </c>
      <c r="O34" s="7">
        <f>IF(Table26[[#This Row],[Product]]="", "", VLOOKUP(Table26[[#This Row],[Product]], [1]!Table2[#Data], 2, FALSE))</f>
        <v>0.57999999999999996</v>
      </c>
      <c r="P34" s="11">
        <f>IF(Table26[[#This Row],[COGS]]="", "", Table26[[#This Row],[COGS]]*Table26[[#This Row],[Qty]])</f>
        <v>2900</v>
      </c>
      <c r="Q34" s="15">
        <f>IF(Table26[[#This Row],[COGS]]="", "", (Table26[[#This Row],[Price]]-Table26[[#This Row],[COGS]])/Table26[[#This Row],[Price]])</f>
        <v>0.35555555555555562</v>
      </c>
      <c r="R34" s="16">
        <f>IF(Table26[[#This Row],[COGS]]="", "", Table26[[#This Row],[Total Sales]]-(Table26[[#This Row],[COGS]]*Table26[[#This Row],[Qty]]))</f>
        <v>1600</v>
      </c>
    </row>
    <row r="35" spans="1:18" x14ac:dyDescent="0.2">
      <c r="A35" s="4">
        <v>45929</v>
      </c>
      <c r="B35" s="5" t="str">
        <f>TEXT(Table26[[#This Row],[Date]], "mmmm")</f>
        <v>September</v>
      </c>
      <c r="C35" s="6" t="str">
        <f>TEXT(Table26[[#This Row],[Date]], "yyyy")</f>
        <v>2025</v>
      </c>
      <c r="D35" s="7" t="s">
        <v>29</v>
      </c>
      <c r="E35" s="7" t="s">
        <v>22</v>
      </c>
      <c r="F35" s="34">
        <v>5000</v>
      </c>
      <c r="G35" s="9">
        <v>1.2</v>
      </c>
      <c r="H35" s="11">
        <f t="shared" si="0"/>
        <v>6000</v>
      </c>
      <c r="I35" s="11">
        <f>Table26[[#This Row],[Total Sales]]*1.15</f>
        <v>6899.9999999999991</v>
      </c>
      <c r="J35" s="7">
        <v>90</v>
      </c>
      <c r="K35" s="11"/>
      <c r="L35" s="7">
        <f ca="1">IF(TODAY() - Table26[[#This Row],[Date]] &gt; 90,Table26[[#This Row],[Total Sales w VAT]]- Table26[[#This Row],[Payment]], 0)</f>
        <v>6899.9999999999991</v>
      </c>
      <c r="M35" s="12">
        <f t="shared" si="1"/>
        <v>46012</v>
      </c>
      <c r="N35" s="13" t="b">
        <v>0</v>
      </c>
      <c r="O35" s="7">
        <f>IF(Table26[[#This Row],[Product]]="", "", VLOOKUP(Table26[[#This Row],[Product]], [1]!Table2[#Data], 2, FALSE))</f>
        <v>0.99</v>
      </c>
      <c r="P35" s="11">
        <f>IF(Table26[[#This Row],[COGS]]="", "", Table26[[#This Row],[COGS]]*Table26[[#This Row],[Qty]])</f>
        <v>4950</v>
      </c>
      <c r="Q35" s="15">
        <f>IF(Table26[[#This Row],[COGS]]="", "", (Table26[[#This Row],[Price]]-Table26[[#This Row],[COGS]])/Table26[[#This Row],[Price]])</f>
        <v>0.17499999999999999</v>
      </c>
      <c r="R35" s="16">
        <f>IF(Table26[[#This Row],[COGS]]="", "", Table26[[#This Row],[Total Sales]]-(Table26[[#This Row],[COGS]]*Table26[[#This Row],[Qty]]))</f>
        <v>1050</v>
      </c>
    </row>
    <row r="36" spans="1:18" x14ac:dyDescent="0.2">
      <c r="A36" s="4">
        <v>45935</v>
      </c>
      <c r="B36" s="5" t="str">
        <f>TEXT(Table26[[#This Row],[Date]], "mmmm")</f>
        <v>October</v>
      </c>
      <c r="C36" s="6" t="str">
        <f>TEXT(Table26[[#This Row],[Date]], "yyyy")</f>
        <v>2025</v>
      </c>
      <c r="D36" s="7" t="s">
        <v>19</v>
      </c>
      <c r="E36" s="7" t="s">
        <v>27</v>
      </c>
      <c r="F36" s="34">
        <v>25000</v>
      </c>
      <c r="G36" s="9">
        <v>1.3</v>
      </c>
      <c r="H36" s="11">
        <f t="shared" si="0"/>
        <v>32500</v>
      </c>
      <c r="I36" s="11">
        <f>Table26[[#This Row],[Total Sales]]*1.15</f>
        <v>37375</v>
      </c>
      <c r="J36" s="7">
        <v>90</v>
      </c>
      <c r="K36" s="11"/>
      <c r="L36" s="7">
        <f ca="1">IF(TODAY() - Table26[[#This Row],[Date]] &gt; 90,Table26[[#This Row],[Total Sales w VAT]]- Table26[[#This Row],[Payment]], 0)</f>
        <v>37375</v>
      </c>
      <c r="M36" s="12">
        <f t="shared" si="1"/>
        <v>46018</v>
      </c>
      <c r="N36" s="13" t="b">
        <v>0</v>
      </c>
      <c r="O36" s="7">
        <f>IF(Table26[[#This Row],[Product]]="", "", VLOOKUP(Table26[[#This Row],[Product]], [1]!Table2[#Data], 2, FALSE))</f>
        <v>1.08</v>
      </c>
      <c r="P36" s="11">
        <f>IF(Table26[[#This Row],[COGS]]="", "", Table26[[#This Row],[COGS]]*Table26[[#This Row],[Qty]])</f>
        <v>27000</v>
      </c>
      <c r="Q36" s="15">
        <f>IF(Table26[[#This Row],[COGS]]="", "", (Table26[[#This Row],[Price]]-Table26[[#This Row],[COGS]])/Table26[[#This Row],[Price]])</f>
        <v>0.16923076923076921</v>
      </c>
      <c r="R36" s="16">
        <f>IF(Table26[[#This Row],[COGS]]="", "", Table26[[#This Row],[Total Sales]]-(Table26[[#This Row],[COGS]]*Table26[[#This Row],[Qty]]))</f>
        <v>5500</v>
      </c>
    </row>
    <row r="37" spans="1:18" x14ac:dyDescent="0.2">
      <c r="A37" s="4">
        <v>45941</v>
      </c>
      <c r="B37" s="5" t="str">
        <f>TEXT(Table26[[#This Row],[Date]], "mmmm")</f>
        <v>October</v>
      </c>
      <c r="C37" s="6" t="str">
        <f>TEXT(Table26[[#This Row],[Date]], "yyyy")</f>
        <v>2025</v>
      </c>
      <c r="D37" s="7" t="s">
        <v>19</v>
      </c>
      <c r="E37" s="7" t="s">
        <v>27</v>
      </c>
      <c r="F37" s="34">
        <v>35000</v>
      </c>
      <c r="G37" s="9">
        <v>1.3</v>
      </c>
      <c r="H37" s="11">
        <f t="shared" si="0"/>
        <v>45500</v>
      </c>
      <c r="I37" s="11">
        <f>Table26[[#This Row],[Total Sales]]*1.15</f>
        <v>52324.999999999993</v>
      </c>
      <c r="J37" s="7">
        <v>90</v>
      </c>
      <c r="K37" s="11"/>
      <c r="L37" s="7">
        <f ca="1">IF(TODAY() - Table26[[#This Row],[Date]] &gt; 90,Table26[[#This Row],[Total Sales w VAT]]- Table26[[#This Row],[Payment]], 0)</f>
        <v>52324.999999999993</v>
      </c>
      <c r="M37" s="12">
        <f t="shared" si="1"/>
        <v>46024</v>
      </c>
      <c r="N37" s="13" t="b">
        <v>0</v>
      </c>
      <c r="O37" s="7">
        <f>IF(Table26[[#This Row],[Product]]="", "", VLOOKUP(Table26[[#This Row],[Product]], [1]!Table2[#Data], 2, FALSE))</f>
        <v>1.08</v>
      </c>
      <c r="P37" s="11">
        <f>IF(Table26[[#This Row],[COGS]]="", "", Table26[[#This Row],[COGS]]*Table26[[#This Row],[Qty]])</f>
        <v>37800</v>
      </c>
      <c r="Q37" s="15">
        <f>IF(Table26[[#This Row],[COGS]]="", "", (Table26[[#This Row],[Price]]-Table26[[#This Row],[COGS]])/Table26[[#This Row],[Price]])</f>
        <v>0.16923076923076921</v>
      </c>
      <c r="R37" s="16">
        <f>IF(Table26[[#This Row],[COGS]]="", "", Table26[[#This Row],[Total Sales]]-(Table26[[#This Row],[COGS]]*Table26[[#This Row],[Qty]]))</f>
        <v>7700</v>
      </c>
    </row>
    <row r="38" spans="1:18" x14ac:dyDescent="0.2">
      <c r="A38" s="4">
        <v>45945</v>
      </c>
      <c r="B38" s="5" t="str">
        <f>TEXT(Table26[[#This Row],[Date]], "mmmm")</f>
        <v>October</v>
      </c>
      <c r="C38" s="6" t="str">
        <f>TEXT(Table26[[#This Row],[Date]], "yyyy")</f>
        <v>2025</v>
      </c>
      <c r="D38" s="7" t="s">
        <v>29</v>
      </c>
      <c r="E38" s="7" t="s">
        <v>22</v>
      </c>
      <c r="F38" s="34">
        <v>12000</v>
      </c>
      <c r="G38" s="9">
        <v>1.2</v>
      </c>
      <c r="H38" s="11">
        <f t="shared" si="0"/>
        <v>14400</v>
      </c>
      <c r="I38" s="11">
        <f>Table26[[#This Row],[Total Sales]]*1.15</f>
        <v>16560</v>
      </c>
      <c r="J38" s="7">
        <v>90</v>
      </c>
      <c r="K38" s="11"/>
      <c r="L38" s="7">
        <f ca="1">IF(TODAY() - Table26[[#This Row],[Date]] &gt; 90,Table26[[#This Row],[Total Sales w VAT]]- Table26[[#This Row],[Payment]], 0)</f>
        <v>16560</v>
      </c>
      <c r="M38" s="12">
        <f t="shared" si="1"/>
        <v>46028</v>
      </c>
      <c r="N38" s="13" t="b">
        <v>0</v>
      </c>
      <c r="O38" s="7">
        <f>IF(Table26[[#This Row],[Product]]="", "", VLOOKUP(Table26[[#This Row],[Product]], [1]!Table2[#Data], 2, FALSE))</f>
        <v>0.99</v>
      </c>
      <c r="P38" s="11">
        <f>IF(Table26[[#This Row],[COGS]]="", "", Table26[[#This Row],[COGS]]*Table26[[#This Row],[Qty]])</f>
        <v>11880</v>
      </c>
      <c r="Q38" s="15">
        <f>IF(Table26[[#This Row],[COGS]]="", "", (Table26[[#This Row],[Price]]-Table26[[#This Row],[COGS]])/Table26[[#This Row],[Price]])</f>
        <v>0.17499999999999999</v>
      </c>
      <c r="R38" s="16">
        <f>IF(Table26[[#This Row],[COGS]]="", "", Table26[[#This Row],[Total Sales]]-(Table26[[#This Row],[COGS]]*Table26[[#This Row],[Qty]]))</f>
        <v>2520</v>
      </c>
    </row>
    <row r="39" spans="1:18" x14ac:dyDescent="0.2">
      <c r="A39" s="4">
        <v>45945</v>
      </c>
      <c r="B39" s="5" t="str">
        <f>TEXT(Table26[[#This Row],[Date]], "mmmm")</f>
        <v>October</v>
      </c>
      <c r="C39" s="6" t="str">
        <f>TEXT(Table26[[#This Row],[Date]], "yyyy")</f>
        <v>2025</v>
      </c>
      <c r="D39" s="7" t="s">
        <v>29</v>
      </c>
      <c r="E39" s="7" t="s">
        <v>23</v>
      </c>
      <c r="F39" s="34">
        <v>6000</v>
      </c>
      <c r="G39" s="9">
        <v>0.9</v>
      </c>
      <c r="H39" s="11">
        <f t="shared" si="0"/>
        <v>5400</v>
      </c>
      <c r="I39" s="11">
        <f>Table26[[#This Row],[Total Sales]]*1.15</f>
        <v>6209.9999999999991</v>
      </c>
      <c r="J39" s="7">
        <v>90</v>
      </c>
      <c r="K39" s="11"/>
      <c r="L39" s="7">
        <f ca="1">IF(TODAY() - Table26[[#This Row],[Date]] &gt; 90,Table26[[#This Row],[Total Sales w VAT]]- Table26[[#This Row],[Payment]], 0)</f>
        <v>6209.9999999999991</v>
      </c>
      <c r="M39" s="12">
        <f t="shared" si="1"/>
        <v>46028</v>
      </c>
      <c r="N39" s="13" t="b">
        <v>0</v>
      </c>
      <c r="O39" s="7">
        <f>IF(Table26[[#This Row],[Product]]="", "", VLOOKUP(Table26[[#This Row],[Product]], [1]!Table2[#Data], 2, FALSE))</f>
        <v>0.57999999999999996</v>
      </c>
      <c r="P39" s="11">
        <f>IF(Table26[[#This Row],[COGS]]="", "", Table26[[#This Row],[COGS]]*Table26[[#This Row],[Qty]])</f>
        <v>3479.9999999999995</v>
      </c>
      <c r="Q39" s="15">
        <f>IF(Table26[[#This Row],[COGS]]="", "", (Table26[[#This Row],[Price]]-Table26[[#This Row],[COGS]])/Table26[[#This Row],[Price]])</f>
        <v>0.35555555555555562</v>
      </c>
      <c r="R39" s="16">
        <f>IF(Table26[[#This Row],[COGS]]="", "", Table26[[#This Row],[Total Sales]]-(Table26[[#This Row],[COGS]]*Table26[[#This Row],[Qty]]))</f>
        <v>1920.0000000000005</v>
      </c>
    </row>
    <row r="40" spans="1:18" x14ac:dyDescent="0.2">
      <c r="A40" s="4">
        <v>45948</v>
      </c>
      <c r="B40" s="5" t="str">
        <f>TEXT(Table26[[#This Row],[Date]], "mmmm")</f>
        <v>October</v>
      </c>
      <c r="C40" s="6" t="str">
        <f>TEXT(Table26[[#This Row],[Date]], "yyyy")</f>
        <v>2025</v>
      </c>
      <c r="D40" s="7" t="s">
        <v>19</v>
      </c>
      <c r="E40" s="7" t="s">
        <v>27</v>
      </c>
      <c r="F40" s="34">
        <v>30000</v>
      </c>
      <c r="G40" s="9">
        <v>1.3</v>
      </c>
      <c r="H40" s="11">
        <f t="shared" si="0"/>
        <v>39000</v>
      </c>
      <c r="I40" s="11">
        <f>Table26[[#This Row],[Total Sales]]*1.15</f>
        <v>44850</v>
      </c>
      <c r="J40" s="7">
        <v>90</v>
      </c>
      <c r="K40" s="11"/>
      <c r="L40" s="7">
        <f ca="1">IF(TODAY() - Table26[[#This Row],[Date]] &gt; 90,Table26[[#This Row],[Total Sales w VAT]]- Table26[[#This Row],[Payment]], 0)</f>
        <v>44850</v>
      </c>
      <c r="M40" s="12">
        <f t="shared" si="1"/>
        <v>46031</v>
      </c>
      <c r="N40" s="13" t="b">
        <v>0</v>
      </c>
      <c r="O40" s="7">
        <f>IF(Table26[[#This Row],[Product]]="", "", VLOOKUP(Table26[[#This Row],[Product]], [1]!Table2[#Data], 2, FALSE))</f>
        <v>1.08</v>
      </c>
      <c r="P40" s="11">
        <f>IF(Table26[[#This Row],[COGS]]="", "", Table26[[#This Row],[COGS]]*Table26[[#This Row],[Qty]])</f>
        <v>32400.000000000004</v>
      </c>
      <c r="Q40" s="15">
        <f>IF(Table26[[#This Row],[COGS]]="", "", (Table26[[#This Row],[Price]]-Table26[[#This Row],[COGS]])/Table26[[#This Row],[Price]])</f>
        <v>0.16923076923076921</v>
      </c>
      <c r="R40" s="16">
        <f>IF(Table26[[#This Row],[COGS]]="", "", Table26[[#This Row],[Total Sales]]-(Table26[[#This Row],[COGS]]*Table26[[#This Row],[Qty]]))</f>
        <v>6599.9999999999964</v>
      </c>
    </row>
    <row r="41" spans="1:18" x14ac:dyDescent="0.2">
      <c r="A41" s="4">
        <v>45956</v>
      </c>
      <c r="B41" s="5" t="str">
        <f>TEXT(Table26[[#This Row],[Date]], "mmmm")</f>
        <v>October</v>
      </c>
      <c r="C41" s="6" t="str">
        <f>TEXT(Table26[[#This Row],[Date]], "yyyy")</f>
        <v>2025</v>
      </c>
      <c r="D41" s="7" t="s">
        <v>19</v>
      </c>
      <c r="E41" s="7" t="s">
        <v>27</v>
      </c>
      <c r="F41" s="34">
        <v>6000</v>
      </c>
      <c r="G41" s="9">
        <v>1.3</v>
      </c>
      <c r="H41" s="11">
        <f t="shared" si="0"/>
        <v>7800</v>
      </c>
      <c r="I41" s="11">
        <f>Table26[[#This Row],[Total Sales]]*1.15</f>
        <v>8970</v>
      </c>
      <c r="J41" s="7">
        <v>90</v>
      </c>
      <c r="K41" s="11"/>
      <c r="L41" s="7">
        <f ca="1">IF(TODAY() - Table26[[#This Row],[Date]] &gt; 90,Table26[[#This Row],[Total Sales w VAT]]- Table26[[#This Row],[Payment]], 0)</f>
        <v>8970</v>
      </c>
      <c r="M41" s="12">
        <f t="shared" si="1"/>
        <v>46039</v>
      </c>
      <c r="N41" s="13" t="b">
        <v>0</v>
      </c>
      <c r="O41" s="7">
        <f>IF(Table26[[#This Row],[Product]]="", "", VLOOKUP(Table26[[#This Row],[Product]], [1]!Table2[#Data], 2, FALSE))</f>
        <v>1.08</v>
      </c>
      <c r="P41" s="11">
        <f>IF(Table26[[#This Row],[COGS]]="", "", Table26[[#This Row],[COGS]]*Table26[[#This Row],[Qty]])</f>
        <v>6480</v>
      </c>
      <c r="Q41" s="15">
        <f>IF(Table26[[#This Row],[COGS]]="", "", (Table26[[#This Row],[Price]]-Table26[[#This Row],[COGS]])/Table26[[#This Row],[Price]])</f>
        <v>0.16923076923076921</v>
      </c>
      <c r="R41" s="16">
        <f>IF(Table26[[#This Row],[COGS]]="", "", Table26[[#This Row],[Total Sales]]-(Table26[[#This Row],[COGS]]*Table26[[#This Row],[Qty]]))</f>
        <v>1320</v>
      </c>
    </row>
    <row r="42" spans="1:18" x14ac:dyDescent="0.2">
      <c r="A42" s="4">
        <v>45958</v>
      </c>
      <c r="B42" s="5" t="str">
        <f>TEXT(Table26[[#This Row],[Date]], "mmmm")</f>
        <v>October</v>
      </c>
      <c r="C42" s="6" t="str">
        <f>TEXT(Table26[[#This Row],[Date]], "yyyy")</f>
        <v>2025</v>
      </c>
      <c r="D42" s="7" t="s">
        <v>30</v>
      </c>
      <c r="E42" s="7"/>
      <c r="F42" s="34"/>
      <c r="G42" s="9"/>
      <c r="H42" s="11">
        <f>F42*G42</f>
        <v>0</v>
      </c>
      <c r="I42" s="11">
        <f>Table26[[#This Row],[Total Sales]]*1.15</f>
        <v>0</v>
      </c>
      <c r="J42" s="7"/>
      <c r="K42" s="11">
        <v>5000</v>
      </c>
      <c r="L42" s="7">
        <f ca="1">IF(TODAY() - Table26[[#This Row],[Date]] &gt; 90,Table26[[#This Row],[Total Sales w VAT]]- Table26[[#This Row],[Payment]], 0)</f>
        <v>-5000</v>
      </c>
      <c r="M42" s="12">
        <f>A42+(J42-7)</f>
        <v>45951</v>
      </c>
      <c r="N42" s="13" t="b">
        <v>0</v>
      </c>
      <c r="O42" s="7" t="str">
        <f>IF(Table26[[#This Row],[Product]]="", "", VLOOKUP(Table26[[#This Row],[Product]], [1]!Table2[#Data], 2, FALSE))</f>
        <v/>
      </c>
      <c r="P42" s="11" t="str">
        <f>IF(Table26[[#This Row],[COGS]]="", "", Table26[[#This Row],[COGS]]*Table26[[#This Row],[Qty]])</f>
        <v/>
      </c>
      <c r="Q42" s="15" t="str">
        <f>IF(Table26[[#This Row],[COGS]]="", "", (Table26[[#This Row],[Price]]-Table26[[#This Row],[COGS]])/Table26[[#This Row],[Price]])</f>
        <v/>
      </c>
      <c r="R42" s="16" t="str">
        <f>IF(Table26[[#This Row],[COGS]]="", "", Table26[[#This Row],[Total Sales]]-(Table26[[#This Row],[COGS]]*Table26[[#This Row],[Qty]]))</f>
        <v/>
      </c>
    </row>
    <row r="43" spans="1:18" x14ac:dyDescent="0.2">
      <c r="A43" s="4">
        <v>45958</v>
      </c>
      <c r="B43" s="5" t="str">
        <f>TEXT(Table26[[#This Row],[Date]], "mmmm")</f>
        <v>October</v>
      </c>
      <c r="C43" s="6" t="str">
        <f>TEXT(Table26[[#This Row],[Date]], "yyyy")</f>
        <v>2025</v>
      </c>
      <c r="D43" s="7" t="s">
        <v>31</v>
      </c>
      <c r="E43" s="7" t="s">
        <v>32</v>
      </c>
      <c r="F43" s="34">
        <v>5000</v>
      </c>
      <c r="G43" s="9">
        <v>1.85</v>
      </c>
      <c r="H43" s="11">
        <f t="shared" si="0"/>
        <v>9250</v>
      </c>
      <c r="I43" s="11">
        <f>Table26[[#This Row],[Total Sales]]*1.15</f>
        <v>10637.5</v>
      </c>
      <c r="J43" s="7">
        <v>60</v>
      </c>
      <c r="K43" s="11"/>
      <c r="L43" s="7">
        <f ca="1">IF(TODAY() - Table26[[#This Row],[Date]] &gt; 90,Table26[[#This Row],[Total Sales w VAT]]- Table26[[#This Row],[Payment]], 0)</f>
        <v>10637.5</v>
      </c>
      <c r="M43" s="12">
        <f t="shared" si="1"/>
        <v>46011</v>
      </c>
      <c r="N43" s="13" t="b">
        <v>0</v>
      </c>
      <c r="O43" s="7">
        <f>IF(Table26[[#This Row],[Product]]="", "", VLOOKUP(Table26[[#This Row],[Product]], [1]!Table2[#Data], 2, FALSE))</f>
        <v>1.44</v>
      </c>
      <c r="P43" s="11">
        <f>IF(Table26[[#This Row],[COGS]]="", "", Table26[[#This Row],[COGS]]*Table26[[#This Row],[Qty]])</f>
        <v>7200</v>
      </c>
      <c r="Q43" s="15">
        <f>IF(Table26[[#This Row],[COGS]]="", "", (Table26[[#This Row],[Price]]-Table26[[#This Row],[COGS]])/Table26[[#This Row],[Price]])</f>
        <v>0.22162162162162169</v>
      </c>
      <c r="R43" s="16">
        <f>IF(Table26[[#This Row],[COGS]]="", "", Table26[[#This Row],[Total Sales]]-(Table26[[#This Row],[COGS]]*Table26[[#This Row],[Qty]]))</f>
        <v>2050</v>
      </c>
    </row>
    <row r="44" spans="1:18" x14ac:dyDescent="0.2">
      <c r="A44" s="4">
        <v>45960</v>
      </c>
      <c r="B44" s="5" t="str">
        <f>TEXT(Table26[[#This Row],[Date]], "mmmm")</f>
        <v>October</v>
      </c>
      <c r="C44" s="6" t="str">
        <f>TEXT(Table26[[#This Row],[Date]], "yyyy")</f>
        <v>2025</v>
      </c>
      <c r="D44" s="7" t="s">
        <v>19</v>
      </c>
      <c r="E44" s="7"/>
      <c r="F44" s="34"/>
      <c r="G44" s="9"/>
      <c r="H44" s="11">
        <f>F44*G44</f>
        <v>0</v>
      </c>
      <c r="I44" s="11">
        <f>Table26[[#This Row],[Total Sales]]*1.15</f>
        <v>0</v>
      </c>
      <c r="J44" s="7"/>
      <c r="K44" s="11">
        <v>15000</v>
      </c>
      <c r="L44" s="7">
        <f ca="1">IF(TODAY() - Table26[[#This Row],[Date]] &gt; 90,Table26[[#This Row],[Total Sales w VAT]]- Table26[[#This Row],[Payment]], 0)</f>
        <v>0</v>
      </c>
      <c r="M44" s="12">
        <f>A44+(J44-7)</f>
        <v>45953</v>
      </c>
      <c r="N44" s="13" t="b">
        <v>0</v>
      </c>
      <c r="O44" s="7" t="str">
        <f>IF(Table26[[#This Row],[Product]]="", "", VLOOKUP(Table26[[#This Row],[Product]], [1]!Table2[#Data], 2, FALSE))</f>
        <v/>
      </c>
      <c r="P44" s="11" t="str">
        <f>IF(Table26[[#This Row],[COGS]]="", "", Table26[[#This Row],[COGS]]*Table26[[#This Row],[Qty]])</f>
        <v/>
      </c>
      <c r="Q44" s="15" t="str">
        <f>IF(Table26[[#This Row],[COGS]]="", "", (Table26[[#This Row],[Price]]-Table26[[#This Row],[COGS]])/Table26[[#This Row],[Price]])</f>
        <v/>
      </c>
      <c r="R44" s="16" t="str">
        <f>IF(Table26[[#This Row],[COGS]]="", "", Table26[[#This Row],[Total Sales]]-(Table26[[#This Row],[COGS]]*Table26[[#This Row],[Qty]]))</f>
        <v/>
      </c>
    </row>
    <row r="45" spans="1:18" x14ac:dyDescent="0.2">
      <c r="A45" s="4">
        <v>45963</v>
      </c>
      <c r="B45" s="5" t="str">
        <f>TEXT(Table26[[#This Row],[Date]], "mmmm")</f>
        <v>November</v>
      </c>
      <c r="C45" s="6" t="str">
        <f>TEXT(Table26[[#This Row],[Date]], "yyyy")</f>
        <v>2025</v>
      </c>
      <c r="D45" s="7" t="s">
        <v>19</v>
      </c>
      <c r="E45" s="7" t="s">
        <v>27</v>
      </c>
      <c r="F45" s="34">
        <v>55000</v>
      </c>
      <c r="G45" s="9">
        <v>1.3</v>
      </c>
      <c r="H45" s="11">
        <f t="shared" si="0"/>
        <v>71500</v>
      </c>
      <c r="I45" s="11">
        <f>Table26[[#This Row],[Total Sales]]*1.15</f>
        <v>82225</v>
      </c>
      <c r="J45" s="7">
        <v>90</v>
      </c>
      <c r="K45" s="11"/>
      <c r="L45" s="7">
        <f ca="1">IF(TODAY() - Table26[[#This Row],[Date]] &gt; 90,Table26[[#This Row],[Total Sales w VAT]]- Table26[[#This Row],[Payment]], 0)</f>
        <v>0</v>
      </c>
      <c r="M45" s="12">
        <f t="shared" si="1"/>
        <v>46046</v>
      </c>
      <c r="N45" s="13" t="b">
        <v>0</v>
      </c>
      <c r="O45" s="7">
        <f>IF(Table26[[#This Row],[Product]]="", "", VLOOKUP(Table26[[#This Row],[Product]], [1]!Table2[#Data], 2, FALSE))</f>
        <v>1.08</v>
      </c>
      <c r="P45" s="11">
        <f>IF(Table26[[#This Row],[COGS]]="", "", Table26[[#This Row],[COGS]]*Table26[[#This Row],[Qty]])</f>
        <v>59400.000000000007</v>
      </c>
      <c r="Q45" s="15">
        <f>IF(Table26[[#This Row],[COGS]]="", "", (Table26[[#This Row],[Price]]-Table26[[#This Row],[COGS]])/Table26[[#This Row],[Price]])</f>
        <v>0.16923076923076921</v>
      </c>
      <c r="R45" s="16">
        <f>IF(Table26[[#This Row],[COGS]]="", "", Table26[[#This Row],[Total Sales]]-(Table26[[#This Row],[COGS]]*Table26[[#This Row],[Qty]]))</f>
        <v>12099.999999999993</v>
      </c>
    </row>
    <row r="46" spans="1:18" x14ac:dyDescent="0.2">
      <c r="A46" s="4">
        <v>45964</v>
      </c>
      <c r="B46" s="5" t="str">
        <f>TEXT(Table26[[#This Row],[Date]], "mmmm")</f>
        <v>November</v>
      </c>
      <c r="C46" s="6" t="str">
        <f>TEXT(Table26[[#This Row],[Date]], "yyyy")</f>
        <v>2025</v>
      </c>
      <c r="D46" s="7" t="s">
        <v>25</v>
      </c>
      <c r="E46" s="7" t="s">
        <v>26</v>
      </c>
      <c r="F46" s="34">
        <v>1000</v>
      </c>
      <c r="G46" s="9">
        <v>3</v>
      </c>
      <c r="H46" s="11">
        <f t="shared" si="0"/>
        <v>3000</v>
      </c>
      <c r="I46" s="11">
        <f>Table26[[#This Row],[Total Sales]]*1.15</f>
        <v>3449.9999999999995</v>
      </c>
      <c r="J46" s="7">
        <v>7</v>
      </c>
      <c r="K46" s="11"/>
      <c r="L46" s="7">
        <f ca="1">IF(TODAY() - Table26[[#This Row],[Date]] &gt; 90,Table26[[#This Row],[Total Sales w VAT]]- Table26[[#This Row],[Payment]], 0)</f>
        <v>0</v>
      </c>
      <c r="M46" s="12">
        <f t="shared" si="1"/>
        <v>45964</v>
      </c>
      <c r="N46" s="13" t="b">
        <v>1</v>
      </c>
      <c r="O46" s="7">
        <f>IF(Table26[[#This Row],[Product]]="", "", VLOOKUP(Table26[[#This Row],[Product]], [1]!Table2[#Data], 2, FALSE))</f>
        <v>1.82</v>
      </c>
      <c r="P46" s="11">
        <f>IF(Table26[[#This Row],[COGS]]="", "", Table26[[#This Row],[COGS]]*Table26[[#This Row],[Qty]])</f>
        <v>1820</v>
      </c>
      <c r="Q46" s="15">
        <f>IF(Table26[[#This Row],[COGS]]="", "", (Table26[[#This Row],[Price]]-Table26[[#This Row],[COGS]])/Table26[[#This Row],[Price]])</f>
        <v>0.39333333333333331</v>
      </c>
      <c r="R46" s="16">
        <f>IF(Table26[[#This Row],[COGS]]="", "", Table26[[#This Row],[Total Sales]]-(Table26[[#This Row],[COGS]]*Table26[[#This Row],[Qty]]))</f>
        <v>1180</v>
      </c>
    </row>
    <row r="47" spans="1:18" x14ac:dyDescent="0.2">
      <c r="A47" s="4">
        <v>45967</v>
      </c>
      <c r="B47" s="5" t="str">
        <f>TEXT(Table26[[#This Row],[Date]], "mmmm")</f>
        <v>November</v>
      </c>
      <c r="C47" s="6" t="str">
        <f>TEXT(Table26[[#This Row],[Date]], "yyyy")</f>
        <v>2025</v>
      </c>
      <c r="D47" s="7" t="s">
        <v>30</v>
      </c>
      <c r="E47" s="7"/>
      <c r="F47" s="34"/>
      <c r="G47" s="9"/>
      <c r="H47" s="11">
        <f>F47*G47</f>
        <v>0</v>
      </c>
      <c r="I47" s="11">
        <f>Table26[[#This Row],[Total Sales]]*1.15</f>
        <v>0</v>
      </c>
      <c r="J47" s="7"/>
      <c r="K47" s="11">
        <v>5000</v>
      </c>
      <c r="L47" s="7">
        <f ca="1">IF(TODAY() - Table26[[#This Row],[Date]] &gt; 90,Table26[[#This Row],[Total Sales w VAT]]- Table26[[#This Row],[Payment]], 0)</f>
        <v>0</v>
      </c>
      <c r="M47" s="12">
        <f>A47+(J47-7)</f>
        <v>45960</v>
      </c>
      <c r="N47" s="13" t="b">
        <v>0</v>
      </c>
      <c r="O47" s="7" t="str">
        <f>IF(Table26[[#This Row],[Product]]="", "", VLOOKUP(Table26[[#This Row],[Product]], [1]!Table2[#Data], 2, FALSE))</f>
        <v/>
      </c>
      <c r="P47" s="11" t="str">
        <f>IF(Table26[[#This Row],[COGS]]="", "", Table26[[#This Row],[COGS]]*Table26[[#This Row],[Qty]])</f>
        <v/>
      </c>
      <c r="Q47" s="15" t="str">
        <f>IF(Table26[[#This Row],[COGS]]="", "", (Table26[[#This Row],[Price]]-Table26[[#This Row],[COGS]])/Table26[[#This Row],[Price]])</f>
        <v/>
      </c>
      <c r="R47" s="16" t="str">
        <f>IF(Table26[[#This Row],[COGS]]="", "", Table26[[#This Row],[Total Sales]]-(Table26[[#This Row],[COGS]]*Table26[[#This Row],[Qty]]))</f>
        <v/>
      </c>
    </row>
    <row r="48" spans="1:18" x14ac:dyDescent="0.2">
      <c r="A48" s="4">
        <v>45971</v>
      </c>
      <c r="B48" s="5" t="str">
        <f>TEXT(Table26[[#This Row],[Date]], "mmmm")</f>
        <v>November</v>
      </c>
      <c r="C48" s="6" t="str">
        <f>TEXT(Table26[[#This Row],[Date]], "yyyy")</f>
        <v>2025</v>
      </c>
      <c r="D48" s="7" t="s">
        <v>19</v>
      </c>
      <c r="E48" s="7"/>
      <c r="F48" s="34"/>
      <c r="G48" s="9"/>
      <c r="H48" s="11">
        <f>F48*G48</f>
        <v>0</v>
      </c>
      <c r="I48" s="11">
        <f>Table26[[#This Row],[Total Sales]]*1.15</f>
        <v>0</v>
      </c>
      <c r="J48" s="7"/>
      <c r="K48" s="11">
        <v>10000</v>
      </c>
      <c r="L48" s="7">
        <f ca="1">IF(TODAY() - Table26[[#This Row],[Date]] &gt; 90,Table26[[#This Row],[Total Sales w VAT]]- Table26[[#This Row],[Payment]], 0)</f>
        <v>0</v>
      </c>
      <c r="M48" s="12">
        <f>A48+(J48-7)</f>
        <v>45964</v>
      </c>
      <c r="N48" s="13" t="b">
        <v>0</v>
      </c>
      <c r="O48" s="7" t="str">
        <f>IF(Table26[[#This Row],[Product]]="", "", VLOOKUP(Table26[[#This Row],[Product]], [1]!Table2[#Data], 2, FALSE))</f>
        <v/>
      </c>
      <c r="P48" s="11" t="str">
        <f>IF(Table26[[#This Row],[COGS]]="", "", Table26[[#This Row],[COGS]]*Table26[[#This Row],[Qty]])</f>
        <v/>
      </c>
      <c r="Q48" s="15" t="str">
        <f>IF(Table26[[#This Row],[COGS]]="", "", (Table26[[#This Row],[Price]]-Table26[[#This Row],[COGS]])/Table26[[#This Row],[Price]])</f>
        <v/>
      </c>
      <c r="R48" s="16" t="str">
        <f>IF(Table26[[#This Row],[COGS]]="", "", Table26[[#This Row],[Total Sales]]-(Table26[[#This Row],[COGS]]*Table26[[#This Row],[Qty]]))</f>
        <v/>
      </c>
    </row>
    <row r="49" spans="1:18" x14ac:dyDescent="0.2">
      <c r="A49" s="4">
        <v>45971</v>
      </c>
      <c r="B49" s="5" t="str">
        <f>TEXT(Table26[[#This Row],[Date]], "mmmm")</f>
        <v>November</v>
      </c>
      <c r="C49" s="6" t="str">
        <f>TEXT(Table26[[#This Row],[Date]], "yyyy")</f>
        <v>2025</v>
      </c>
      <c r="D49" s="7" t="s">
        <v>29</v>
      </c>
      <c r="E49" s="7"/>
      <c r="F49" s="34"/>
      <c r="G49" s="9"/>
      <c r="H49" s="11">
        <f>F49*G49</f>
        <v>0</v>
      </c>
      <c r="I49" s="11">
        <f>Table26[[#This Row],[Total Sales]]*1.15</f>
        <v>0</v>
      </c>
      <c r="J49" s="7"/>
      <c r="K49" s="11">
        <v>14835</v>
      </c>
      <c r="L49" s="7">
        <f ca="1">IF(TODAY() - Table26[[#This Row],[Date]] &gt; 90,Table26[[#This Row],[Total Sales w VAT]]- Table26[[#This Row],[Payment]], 0)</f>
        <v>0</v>
      </c>
      <c r="M49" s="12">
        <f>A49+(J49-7)</f>
        <v>45964</v>
      </c>
      <c r="N49" s="13" t="b">
        <v>0</v>
      </c>
      <c r="O49" s="7" t="str">
        <f>IF(Table26[[#This Row],[Product]]="", "", VLOOKUP(Table26[[#This Row],[Product]], [1]!Table2[#Data], 2, FALSE))</f>
        <v/>
      </c>
      <c r="P49" s="11" t="str">
        <f>IF(Table26[[#This Row],[COGS]]="", "", Table26[[#This Row],[COGS]]*Table26[[#This Row],[Qty]])</f>
        <v/>
      </c>
      <c r="Q49" s="15" t="str">
        <f>IF(Table26[[#This Row],[COGS]]="", "", (Table26[[#This Row],[Price]]-Table26[[#This Row],[COGS]])/Table26[[#This Row],[Price]])</f>
        <v/>
      </c>
      <c r="R49" s="16" t="str">
        <f>IF(Table26[[#This Row],[COGS]]="", "", Table26[[#This Row],[Total Sales]]-(Table26[[#This Row],[COGS]]*Table26[[#This Row],[Qty]]))</f>
        <v/>
      </c>
    </row>
    <row r="50" spans="1:18" x14ac:dyDescent="0.2">
      <c r="A50" s="4">
        <v>45972</v>
      </c>
      <c r="B50" s="5" t="str">
        <f>TEXT(Table26[[#This Row],[Date]], "mmmm")</f>
        <v>November</v>
      </c>
      <c r="C50" s="6" t="str">
        <f>TEXT(Table26[[#This Row],[Date]], "yyyy")</f>
        <v>2025</v>
      </c>
      <c r="D50" s="7" t="s">
        <v>19</v>
      </c>
      <c r="E50" s="7" t="s">
        <v>33</v>
      </c>
      <c r="F50" s="34">
        <v>2000</v>
      </c>
      <c r="G50" s="9">
        <v>1</v>
      </c>
      <c r="H50" s="11">
        <f t="shared" si="0"/>
        <v>2000</v>
      </c>
      <c r="I50" s="11">
        <f>Table26[[#This Row],[Total Sales]]*1.15</f>
        <v>2300</v>
      </c>
      <c r="J50" s="7">
        <v>90</v>
      </c>
      <c r="K50" s="11"/>
      <c r="L50" s="7">
        <f ca="1">IF(TODAY() - Table26[[#This Row],[Date]] &gt; 90,Table26[[#This Row],[Total Sales w VAT]]- Table26[[#This Row],[Payment]], 0)</f>
        <v>0</v>
      </c>
      <c r="M50" s="12">
        <f t="shared" si="1"/>
        <v>46055</v>
      </c>
      <c r="N50" s="13" t="b">
        <v>0</v>
      </c>
      <c r="O50" s="7">
        <f>IF(Table26[[#This Row],[Product]]="", "", VLOOKUP(Table26[[#This Row],[Product]], [1]!Table2[#Data], 2, FALSE))</f>
        <v>0.67</v>
      </c>
      <c r="P50" s="11">
        <f>IF(Table26[[#This Row],[COGS]]="", "", Table26[[#This Row],[COGS]]*Table26[[#This Row],[Qty]])</f>
        <v>1340</v>
      </c>
      <c r="Q50" s="15">
        <f>IF(Table26[[#This Row],[COGS]]="", "", (Table26[[#This Row],[Price]]-Table26[[#This Row],[COGS]])/Table26[[#This Row],[Price]])</f>
        <v>0.32999999999999996</v>
      </c>
      <c r="R50" s="16">
        <f>IF(Table26[[#This Row],[COGS]]="", "", Table26[[#This Row],[Total Sales]]-(Table26[[#This Row],[COGS]]*Table26[[#This Row],[Qty]]))</f>
        <v>660</v>
      </c>
    </row>
    <row r="51" spans="1:18" x14ac:dyDescent="0.2">
      <c r="A51" s="4">
        <v>45981</v>
      </c>
      <c r="B51" s="5" t="str">
        <f>TEXT(Table26[[#This Row],[Date]], "mmmm")</f>
        <v>November</v>
      </c>
      <c r="C51" s="6" t="str">
        <f>TEXT(Table26[[#This Row],[Date]], "yyyy")</f>
        <v>2025</v>
      </c>
      <c r="D51" s="7" t="s">
        <v>19</v>
      </c>
      <c r="E51" s="7" t="s">
        <v>27</v>
      </c>
      <c r="F51" s="34">
        <v>15000</v>
      </c>
      <c r="G51" s="9">
        <v>1.3</v>
      </c>
      <c r="H51" s="11">
        <f t="shared" si="0"/>
        <v>19500</v>
      </c>
      <c r="I51" s="11">
        <f>Table26[[#This Row],[Total Sales]]*1.15</f>
        <v>22425</v>
      </c>
      <c r="J51" s="7">
        <v>90</v>
      </c>
      <c r="K51" s="11"/>
      <c r="L51" s="7">
        <f ca="1">IF(TODAY() - Table26[[#This Row],[Date]] &gt; 90,Table26[[#This Row],[Total Sales w VAT]]- Table26[[#This Row],[Payment]], 0)</f>
        <v>0</v>
      </c>
      <c r="M51" s="12">
        <f t="shared" si="1"/>
        <v>46064</v>
      </c>
      <c r="N51" s="13" t="b">
        <v>0</v>
      </c>
      <c r="O51" s="7">
        <f>IF(Table26[[#This Row],[Product]]="", "", VLOOKUP(Table26[[#This Row],[Product]], [1]!Table2[#Data], 2, FALSE))</f>
        <v>1.08</v>
      </c>
      <c r="P51" s="11">
        <f>IF(Table26[[#This Row],[COGS]]="", "", Table26[[#This Row],[COGS]]*Table26[[#This Row],[Qty]])</f>
        <v>16200.000000000002</v>
      </c>
      <c r="Q51" s="15">
        <f>IF(Table26[[#This Row],[COGS]]="", "", (Table26[[#This Row],[Price]]-Table26[[#This Row],[COGS]])/Table26[[#This Row],[Price]])</f>
        <v>0.16923076923076921</v>
      </c>
      <c r="R51" s="16">
        <f>IF(Table26[[#This Row],[COGS]]="", "", Table26[[#This Row],[Total Sales]]-(Table26[[#This Row],[COGS]]*Table26[[#This Row],[Qty]]))</f>
        <v>3299.9999999999982</v>
      </c>
    </row>
    <row r="52" spans="1:18" x14ac:dyDescent="0.2">
      <c r="A52" s="4">
        <v>45985</v>
      </c>
      <c r="B52" s="5" t="str">
        <f>TEXT(Table26[[#This Row],[Date]], "mmmm")</f>
        <v>November</v>
      </c>
      <c r="C52" s="6" t="str">
        <f>TEXT(Table26[[#This Row],[Date]], "yyyy")</f>
        <v>2025</v>
      </c>
      <c r="D52" s="7" t="s">
        <v>19</v>
      </c>
      <c r="E52" s="7" t="s">
        <v>27</v>
      </c>
      <c r="F52" s="34">
        <v>5000</v>
      </c>
      <c r="G52" s="9">
        <v>1.3</v>
      </c>
      <c r="H52" s="11">
        <f t="shared" si="0"/>
        <v>6500</v>
      </c>
      <c r="I52" s="11">
        <f>Table26[[#This Row],[Total Sales]]*1.15</f>
        <v>7474.9999999999991</v>
      </c>
      <c r="J52" s="7">
        <v>90</v>
      </c>
      <c r="K52" s="11"/>
      <c r="L52" s="7">
        <f ca="1">IF(TODAY() - Table26[[#This Row],[Date]] &gt; 90,Table26[[#This Row],[Total Sales w VAT]]- Table26[[#This Row],[Payment]], 0)</f>
        <v>0</v>
      </c>
      <c r="M52" s="12">
        <f t="shared" si="1"/>
        <v>46068</v>
      </c>
      <c r="N52" s="13" t="b">
        <v>0</v>
      </c>
      <c r="O52" s="7">
        <f>IF(Table26[[#This Row],[Product]]="", "", VLOOKUP(Table26[[#This Row],[Product]], [1]!Table2[#Data], 2, FALSE))</f>
        <v>1.08</v>
      </c>
      <c r="P52" s="11">
        <f>IF(Table26[[#This Row],[COGS]]="", "", Table26[[#This Row],[COGS]]*Table26[[#This Row],[Qty]])</f>
        <v>5400</v>
      </c>
      <c r="Q52" s="15">
        <f>IF(Table26[[#This Row],[COGS]]="", "", (Table26[[#This Row],[Price]]-Table26[[#This Row],[COGS]])/Table26[[#This Row],[Price]])</f>
        <v>0.16923076923076921</v>
      </c>
      <c r="R52" s="16">
        <f>IF(Table26[[#This Row],[COGS]]="", "", Table26[[#This Row],[Total Sales]]-(Table26[[#This Row],[COGS]]*Table26[[#This Row],[Qty]]))</f>
        <v>1100</v>
      </c>
    </row>
    <row r="53" spans="1:18" x14ac:dyDescent="0.2">
      <c r="A53" s="4">
        <v>45983</v>
      </c>
      <c r="B53" s="5" t="str">
        <f>TEXT(Table26[[#This Row],[Date]], "mmmm")</f>
        <v>November</v>
      </c>
      <c r="C53" s="6" t="str">
        <f>TEXT(Table26[[#This Row],[Date]], "yyyy")</f>
        <v>2025</v>
      </c>
      <c r="D53" s="7" t="s">
        <v>29</v>
      </c>
      <c r="E53" s="7" t="s">
        <v>22</v>
      </c>
      <c r="F53" s="34">
        <v>8000</v>
      </c>
      <c r="G53" s="9">
        <v>1.2</v>
      </c>
      <c r="H53" s="11">
        <f t="shared" si="0"/>
        <v>9600</v>
      </c>
      <c r="I53" s="11">
        <f>Table26[[#This Row],[Total Sales]]*1.15</f>
        <v>11040</v>
      </c>
      <c r="J53" s="7">
        <v>90</v>
      </c>
      <c r="K53" s="11"/>
      <c r="L53" s="7">
        <f ca="1">IF(TODAY() - Table26[[#This Row],[Date]] &gt; 90,Table26[[#This Row],[Total Sales w VAT]]- Table26[[#This Row],[Payment]], 0)</f>
        <v>0</v>
      </c>
      <c r="M53" s="12">
        <f t="shared" si="1"/>
        <v>46066</v>
      </c>
      <c r="N53" s="13" t="b">
        <v>0</v>
      </c>
      <c r="O53" s="7">
        <f>IF(Table26[[#This Row],[Product]]="", "", VLOOKUP(Table26[[#This Row],[Product]], [1]!Table2[#Data], 2, FALSE))</f>
        <v>0.99</v>
      </c>
      <c r="P53" s="11">
        <f>IF(Table26[[#This Row],[COGS]]="", "", Table26[[#This Row],[COGS]]*Table26[[#This Row],[Qty]])</f>
        <v>7920</v>
      </c>
      <c r="Q53" s="15">
        <f>IF(Table26[[#This Row],[COGS]]="", "", (Table26[[#This Row],[Price]]-Table26[[#This Row],[COGS]])/Table26[[#This Row],[Price]])</f>
        <v>0.17499999999999999</v>
      </c>
      <c r="R53" s="16">
        <f>IF(Table26[[#This Row],[COGS]]="", "", Table26[[#This Row],[Total Sales]]-(Table26[[#This Row],[COGS]]*Table26[[#This Row],[Qty]]))</f>
        <v>1680</v>
      </c>
    </row>
    <row r="54" spans="1:18" x14ac:dyDescent="0.2">
      <c r="A54" s="4">
        <v>45983</v>
      </c>
      <c r="B54" s="5" t="str">
        <f>TEXT(Table26[[#This Row],[Date]], "mmmm")</f>
        <v>November</v>
      </c>
      <c r="C54" s="6" t="str">
        <f>TEXT(Table26[[#This Row],[Date]], "yyyy")</f>
        <v>2025</v>
      </c>
      <c r="D54" s="7" t="s">
        <v>29</v>
      </c>
      <c r="E54" s="7" t="s">
        <v>23</v>
      </c>
      <c r="F54" s="34">
        <v>6000</v>
      </c>
      <c r="G54" s="9">
        <v>0.9</v>
      </c>
      <c r="H54" s="11">
        <f t="shared" si="0"/>
        <v>5400</v>
      </c>
      <c r="I54" s="11">
        <f>Table26[[#This Row],[Total Sales]]*1.15</f>
        <v>6209.9999999999991</v>
      </c>
      <c r="J54" s="7">
        <v>90</v>
      </c>
      <c r="K54" s="11"/>
      <c r="L54" s="7">
        <f ca="1">IF(TODAY() - Table26[[#This Row],[Date]] &gt; 90,Table26[[#This Row],[Total Sales w VAT]]- Table26[[#This Row],[Payment]], 0)</f>
        <v>0</v>
      </c>
      <c r="M54" s="12">
        <f t="shared" si="1"/>
        <v>46066</v>
      </c>
      <c r="N54" s="13" t="b">
        <v>0</v>
      </c>
      <c r="O54" s="7">
        <f>IF(Table26[[#This Row],[Product]]="", "", VLOOKUP(Table26[[#This Row],[Product]], [1]!Table2[#Data], 2, FALSE))</f>
        <v>0.57999999999999996</v>
      </c>
      <c r="P54" s="11">
        <f>IF(Table26[[#This Row],[COGS]]="", "", Table26[[#This Row],[COGS]]*Table26[[#This Row],[Qty]])</f>
        <v>3479.9999999999995</v>
      </c>
      <c r="Q54" s="15">
        <f>IF(Table26[[#This Row],[COGS]]="", "", (Table26[[#This Row],[Price]]-Table26[[#This Row],[COGS]])/Table26[[#This Row],[Price]])</f>
        <v>0.35555555555555562</v>
      </c>
      <c r="R54" s="16">
        <f>IF(Table26[[#This Row],[COGS]]="", "", Table26[[#This Row],[Total Sales]]-(Table26[[#This Row],[COGS]]*Table26[[#This Row],[Qty]]))</f>
        <v>1920.0000000000005</v>
      </c>
    </row>
    <row r="55" spans="1:18" x14ac:dyDescent="0.2">
      <c r="A55" s="4">
        <v>45988</v>
      </c>
      <c r="B55" s="5" t="str">
        <f>TEXT(Table26[[#This Row],[Date]], "mmmm")</f>
        <v>November</v>
      </c>
      <c r="C55" s="6" t="str">
        <f>TEXT(Table26[[#This Row],[Date]], "yyyy")</f>
        <v>2025</v>
      </c>
      <c r="D55" s="7" t="s">
        <v>19</v>
      </c>
      <c r="E55" s="7"/>
      <c r="F55" s="34"/>
      <c r="G55" s="9"/>
      <c r="H55" s="11">
        <f>F55*G55</f>
        <v>0</v>
      </c>
      <c r="I55" s="11">
        <f>Table26[[#This Row],[Total Sales]]*1.15</f>
        <v>0</v>
      </c>
      <c r="J55" s="7"/>
      <c r="K55" s="11">
        <v>20000</v>
      </c>
      <c r="L55" s="7">
        <f ca="1">IF(TODAY() - Table26[[#This Row],[Date]] &gt; 90,Table26[[#This Row],[Total Sales w VAT]]- Table26[[#This Row],[Payment]], 0)</f>
        <v>0</v>
      </c>
      <c r="M55" s="12">
        <f>A55+(J55-7)</f>
        <v>45981</v>
      </c>
      <c r="N55" s="13" t="b">
        <v>0</v>
      </c>
      <c r="O55" s="7" t="str">
        <f>IF(Table26[[#This Row],[Product]]="", "", VLOOKUP(Table26[[#This Row],[Product]], [1]!Table2[#Data], 2, FALSE))</f>
        <v/>
      </c>
      <c r="P55" s="11" t="str">
        <f>IF(Table26[[#This Row],[COGS]]="", "", Table26[[#This Row],[COGS]]*Table26[[#This Row],[Qty]])</f>
        <v/>
      </c>
      <c r="Q55" s="15" t="str">
        <f>IF(Table26[[#This Row],[COGS]]="", "", (Table26[[#This Row],[Price]]-Table26[[#This Row],[COGS]])/Table26[[#This Row],[Price]])</f>
        <v/>
      </c>
      <c r="R55" s="16" t="str">
        <f>IF(Table26[[#This Row],[COGS]]="", "", Table26[[#This Row],[Total Sales]]-(Table26[[#This Row],[COGS]]*Table26[[#This Row],[Qty]]))</f>
        <v/>
      </c>
    </row>
    <row r="56" spans="1:18" x14ac:dyDescent="0.2">
      <c r="A56" s="4">
        <v>45991</v>
      </c>
      <c r="B56" s="5" t="str">
        <f>TEXT(Table26[[#This Row],[Date]], "mmmm")</f>
        <v>November</v>
      </c>
      <c r="C56" s="6" t="str">
        <f>TEXT(Table26[[#This Row],[Date]], "yyyy")</f>
        <v>2025</v>
      </c>
      <c r="D56" s="7" t="s">
        <v>19</v>
      </c>
      <c r="E56" s="7" t="s">
        <v>27</v>
      </c>
      <c r="F56" s="34">
        <v>10000</v>
      </c>
      <c r="G56" s="9">
        <v>1.3</v>
      </c>
      <c r="H56" s="11">
        <f t="shared" si="0"/>
        <v>13000</v>
      </c>
      <c r="I56" s="11">
        <f>Table26[[#This Row],[Total Sales]]*1.15</f>
        <v>14949.999999999998</v>
      </c>
      <c r="J56" s="7">
        <v>90</v>
      </c>
      <c r="K56" s="11"/>
      <c r="L56" s="7">
        <f ca="1">IF(TODAY() - Table26[[#This Row],[Date]] &gt; 90,Table26[[#This Row],[Total Sales w VAT]]- Table26[[#This Row],[Payment]], 0)</f>
        <v>0</v>
      </c>
      <c r="M56" s="12">
        <f t="shared" si="1"/>
        <v>46074</v>
      </c>
      <c r="N56" s="13" t="b">
        <v>0</v>
      </c>
      <c r="O56" s="7">
        <f>IF(Table26[[#This Row],[Product]]="", "", VLOOKUP(Table26[[#This Row],[Product]], [1]!Table2[#Data], 2, FALSE))</f>
        <v>1.08</v>
      </c>
      <c r="P56" s="11">
        <f>IF(Table26[[#This Row],[COGS]]="", "", Table26[[#This Row],[COGS]]*Table26[[#This Row],[Qty]])</f>
        <v>10800</v>
      </c>
      <c r="Q56" s="15">
        <f>IF(Table26[[#This Row],[COGS]]="", "", (Table26[[#This Row],[Price]]-Table26[[#This Row],[COGS]])/Table26[[#This Row],[Price]])</f>
        <v>0.16923076923076921</v>
      </c>
      <c r="R56" s="16">
        <f>IF(Table26[[#This Row],[COGS]]="", "", Table26[[#This Row],[Total Sales]]-(Table26[[#This Row],[COGS]]*Table26[[#This Row],[Qty]]))</f>
        <v>2200</v>
      </c>
    </row>
    <row r="57" spans="1:18" x14ac:dyDescent="0.2">
      <c r="A57" s="4">
        <v>45991</v>
      </c>
      <c r="B57" s="5" t="str">
        <f>TEXT(Table26[[#This Row],[Date]], "mmmm")</f>
        <v>November</v>
      </c>
      <c r="C57" s="6" t="str">
        <f>TEXT(Table26[[#This Row],[Date]], "yyyy")</f>
        <v>2025</v>
      </c>
      <c r="D57" s="7" t="s">
        <v>31</v>
      </c>
      <c r="E57" s="7" t="s">
        <v>32</v>
      </c>
      <c r="F57" s="34">
        <v>10000</v>
      </c>
      <c r="G57" s="9">
        <v>1.85</v>
      </c>
      <c r="H57" s="11">
        <f t="shared" si="0"/>
        <v>18500</v>
      </c>
      <c r="I57" s="11">
        <f>Table26[[#This Row],[Total Sales]]*1.15</f>
        <v>21275</v>
      </c>
      <c r="J57" s="7">
        <v>60</v>
      </c>
      <c r="K57" s="11"/>
      <c r="L57" s="7">
        <f ca="1">IF(TODAY() - Table26[[#This Row],[Date]] &gt; 90,Table26[[#This Row],[Total Sales w VAT]]- Table26[[#This Row],[Payment]], 0)</f>
        <v>0</v>
      </c>
      <c r="M57" s="12">
        <f t="shared" si="1"/>
        <v>46044</v>
      </c>
      <c r="N57" s="13" t="b">
        <v>0</v>
      </c>
      <c r="O57" s="7">
        <f>IF(Table26[[#This Row],[Product]]="", "", VLOOKUP(Table26[[#This Row],[Product]], [1]!Table2[#Data], 2, FALSE))</f>
        <v>1.44</v>
      </c>
      <c r="P57" s="11">
        <f>IF(Table26[[#This Row],[COGS]]="", "", Table26[[#This Row],[COGS]]*Table26[[#This Row],[Qty]])</f>
        <v>14400</v>
      </c>
      <c r="Q57" s="15">
        <f>IF(Table26[[#This Row],[COGS]]="", "", (Table26[[#This Row],[Price]]-Table26[[#This Row],[COGS]])/Table26[[#This Row],[Price]])</f>
        <v>0.22162162162162169</v>
      </c>
      <c r="R57" s="16">
        <f>IF(Table26[[#This Row],[COGS]]="", "", Table26[[#This Row],[Total Sales]]-(Table26[[#This Row],[COGS]]*Table26[[#This Row],[Qty]]))</f>
        <v>4100</v>
      </c>
    </row>
    <row r="58" spans="1:18" x14ac:dyDescent="0.2">
      <c r="A58" s="4">
        <v>45993</v>
      </c>
      <c r="B58" s="5" t="str">
        <f>TEXT(Table26[[#This Row],[Date]], "mmmm")</f>
        <v>December</v>
      </c>
      <c r="C58" s="6" t="str">
        <f>TEXT(Table26[[#This Row],[Date]], "yyyy")</f>
        <v>2025</v>
      </c>
      <c r="D58" s="7" t="s">
        <v>19</v>
      </c>
      <c r="E58" s="7" t="s">
        <v>27</v>
      </c>
      <c r="F58" s="34">
        <v>25000</v>
      </c>
      <c r="G58" s="9">
        <v>1.3</v>
      </c>
      <c r="H58" s="11">
        <f t="shared" si="0"/>
        <v>32500</v>
      </c>
      <c r="I58" s="11">
        <f>Table26[[#This Row],[Total Sales]]*1.15</f>
        <v>37375</v>
      </c>
      <c r="J58" s="7">
        <v>90</v>
      </c>
      <c r="K58" s="11"/>
      <c r="L58" s="7">
        <f ca="1">IF(TODAY() - Table26[[#This Row],[Date]] &gt; 90,Table26[[#This Row],[Total Sales w VAT]]- Table26[[#This Row],[Payment]], 0)</f>
        <v>0</v>
      </c>
      <c r="M58" s="12">
        <f t="shared" si="1"/>
        <v>46076</v>
      </c>
      <c r="N58" s="13" t="b">
        <v>0</v>
      </c>
      <c r="O58" s="7">
        <f>IF(Table26[[#This Row],[Product]]="", "", VLOOKUP(Table26[[#This Row],[Product]], [1]!Table2[#Data], 2, FALSE))</f>
        <v>1.08</v>
      </c>
      <c r="P58" s="11">
        <f>IF(Table26[[#This Row],[COGS]]="", "", Table26[[#This Row],[COGS]]*Table26[[#This Row],[Qty]])</f>
        <v>27000</v>
      </c>
      <c r="Q58" s="15">
        <f>IF(Table26[[#This Row],[COGS]]="", "", (Table26[[#This Row],[Price]]-Table26[[#This Row],[COGS]])/Table26[[#This Row],[Price]])</f>
        <v>0.16923076923076921</v>
      </c>
      <c r="R58" s="16">
        <f>IF(Table26[[#This Row],[COGS]]="", "", Table26[[#This Row],[Total Sales]]-(Table26[[#This Row],[COGS]]*Table26[[#This Row],[Qty]]))</f>
        <v>5500</v>
      </c>
    </row>
    <row r="59" spans="1:18" x14ac:dyDescent="0.2">
      <c r="A59" s="4">
        <v>45993</v>
      </c>
      <c r="B59" s="5" t="str">
        <f>TEXT(Table26[[#This Row],[Date]], "mmmm")</f>
        <v>December</v>
      </c>
      <c r="C59" s="6" t="str">
        <f>TEXT(Table26[[#This Row],[Date]], "yyyy")</f>
        <v>2025</v>
      </c>
      <c r="D59" s="7" t="s">
        <v>19</v>
      </c>
      <c r="E59" s="7"/>
      <c r="F59" s="34"/>
      <c r="G59" s="9"/>
      <c r="H59" s="11">
        <f t="shared" si="0"/>
        <v>0</v>
      </c>
      <c r="I59" s="11">
        <f>Table26[[#This Row],[Total Sales]]*1.15</f>
        <v>0</v>
      </c>
      <c r="J59" s="7"/>
      <c r="K59" s="11">
        <v>20000</v>
      </c>
      <c r="L59" s="7">
        <f ca="1">IF(TODAY() - Table26[[#This Row],[Date]] &gt; 90,Table26[[#This Row],[Total Sales w VAT]]- Table26[[#This Row],[Payment]], 0)</f>
        <v>0</v>
      </c>
      <c r="M59" s="12">
        <f t="shared" si="1"/>
        <v>45986</v>
      </c>
      <c r="N59" s="13" t="b">
        <v>0</v>
      </c>
      <c r="O59" s="7" t="str">
        <f>IF(Table26[[#This Row],[Product]]="", "", VLOOKUP(Table26[[#This Row],[Product]], [1]!Table2[#Data], 2, FALSE))</f>
        <v/>
      </c>
      <c r="P59" s="11" t="str">
        <f>IF(Table26[[#This Row],[COGS]]="", "", Table26[[#This Row],[COGS]]*Table26[[#This Row],[Qty]])</f>
        <v/>
      </c>
      <c r="Q59" s="15" t="str">
        <f>IF(Table26[[#This Row],[COGS]]="", "", (Table26[[#This Row],[Price]]-Table26[[#This Row],[COGS]])/Table26[[#This Row],[Price]])</f>
        <v/>
      </c>
      <c r="R59" s="16" t="str">
        <f>IF(Table26[[#This Row],[COGS]]="", "", Table26[[#This Row],[Total Sales]]-(Table26[[#This Row],[COGS]]*Table26[[#This Row],[Qty]]))</f>
        <v/>
      </c>
    </row>
    <row r="60" spans="1:18" x14ac:dyDescent="0.2">
      <c r="A60" s="4">
        <v>46005</v>
      </c>
      <c r="B60" s="5" t="str">
        <f>TEXT(Table26[[#This Row],[Date]], "mmmm")</f>
        <v>December</v>
      </c>
      <c r="C60" s="6" t="str">
        <f>TEXT(Table26[[#This Row],[Date]], "yyyy")</f>
        <v>2025</v>
      </c>
      <c r="D60" s="7" t="s">
        <v>19</v>
      </c>
      <c r="E60" s="7" t="s">
        <v>27</v>
      </c>
      <c r="F60" s="34">
        <v>25000</v>
      </c>
      <c r="G60" s="9">
        <v>1.3</v>
      </c>
      <c r="H60" s="11">
        <f t="shared" si="0"/>
        <v>32500</v>
      </c>
      <c r="I60" s="11">
        <f>Table26[[#This Row],[Total Sales]]*1.15</f>
        <v>37375</v>
      </c>
      <c r="J60" s="7">
        <v>90</v>
      </c>
      <c r="K60" s="11"/>
      <c r="L60" s="7">
        <f ca="1">IF(TODAY() - Table26[[#This Row],[Date]] &gt; 90,Table26[[#This Row],[Total Sales w VAT]]- Table26[[#This Row],[Payment]], 0)</f>
        <v>0</v>
      </c>
      <c r="M60" s="12">
        <f t="shared" si="1"/>
        <v>46088</v>
      </c>
      <c r="N60" s="13" t="b">
        <v>0</v>
      </c>
      <c r="O60" s="7">
        <f>IF(Table26[[#This Row],[Product]]="", "", VLOOKUP(Table26[[#This Row],[Product]], [1]!Table2[#Data], 2, FALSE))</f>
        <v>1.08</v>
      </c>
      <c r="P60" s="11">
        <f>IF(Table26[[#This Row],[COGS]]="", "", Table26[[#This Row],[COGS]]*Table26[[#This Row],[Qty]])</f>
        <v>27000</v>
      </c>
      <c r="Q60" s="15">
        <f>IF(Table26[[#This Row],[COGS]]="", "", (Table26[[#This Row],[Price]]-Table26[[#This Row],[COGS]])/Table26[[#This Row],[Price]])</f>
        <v>0.16923076923076921</v>
      </c>
      <c r="R60" s="16">
        <f>IF(Table26[[#This Row],[COGS]]="", "", Table26[[#This Row],[Total Sales]]-(Table26[[#This Row],[COGS]]*Table26[[#This Row],[Qty]]))</f>
        <v>5500</v>
      </c>
    </row>
    <row r="61" spans="1:18" x14ac:dyDescent="0.2">
      <c r="A61" s="4">
        <v>46011</v>
      </c>
      <c r="B61" s="5" t="str">
        <f>TEXT(Table26[[#This Row],[Date]], "mmmm")</f>
        <v>December</v>
      </c>
      <c r="C61" s="6" t="str">
        <f>TEXT(Table26[[#This Row],[Date]], "yyyy")</f>
        <v>2025</v>
      </c>
      <c r="D61" s="7" t="s">
        <v>19</v>
      </c>
      <c r="E61" s="7" t="s">
        <v>27</v>
      </c>
      <c r="F61" s="34">
        <v>10000</v>
      </c>
      <c r="G61" s="9">
        <v>1.3</v>
      </c>
      <c r="H61" s="11">
        <f t="shared" si="0"/>
        <v>13000</v>
      </c>
      <c r="I61" s="11">
        <f>Table26[[#This Row],[Total Sales]]*1.15</f>
        <v>14949.999999999998</v>
      </c>
      <c r="J61" s="7">
        <v>90</v>
      </c>
      <c r="K61" s="11"/>
      <c r="L61" s="7">
        <f ca="1">IF(TODAY() - Table26[[#This Row],[Date]] &gt; 90,Table26[[#This Row],[Total Sales w VAT]]- Table26[[#This Row],[Payment]], 0)</f>
        <v>0</v>
      </c>
      <c r="M61" s="12">
        <f t="shared" si="1"/>
        <v>46094</v>
      </c>
      <c r="N61" s="13" t="b">
        <v>0</v>
      </c>
      <c r="O61" s="7">
        <f>IF(Table26[[#This Row],[Product]]="", "", VLOOKUP(Table26[[#This Row],[Product]], [1]!Table2[#Data], 2, FALSE))</f>
        <v>1.08</v>
      </c>
      <c r="P61" s="11">
        <f>IF(Table26[[#This Row],[COGS]]="", "", Table26[[#This Row],[COGS]]*Table26[[#This Row],[Qty]])</f>
        <v>10800</v>
      </c>
      <c r="Q61" s="15">
        <f>IF(Table26[[#This Row],[COGS]]="", "", (Table26[[#This Row],[Price]]-Table26[[#This Row],[COGS]])/Table26[[#This Row],[Price]])</f>
        <v>0.16923076923076921</v>
      </c>
      <c r="R61" s="16">
        <f>IF(Table26[[#This Row],[COGS]]="", "", Table26[[#This Row],[Total Sales]]-(Table26[[#This Row],[COGS]]*Table26[[#This Row],[Qty]]))</f>
        <v>2200</v>
      </c>
    </row>
    <row r="62" spans="1:18" x14ac:dyDescent="0.2">
      <c r="A62" s="4">
        <v>46012</v>
      </c>
      <c r="B62" s="5" t="str">
        <f>TEXT(Table26[[#This Row],[Date]], "mmmm")</f>
        <v>December</v>
      </c>
      <c r="C62" s="6" t="str">
        <f>TEXT(Table26[[#This Row],[Date]], "yyyy")</f>
        <v>2025</v>
      </c>
      <c r="D62" s="7" t="s">
        <v>29</v>
      </c>
      <c r="E62" s="7" t="s">
        <v>22</v>
      </c>
      <c r="F62" s="34">
        <v>8000</v>
      </c>
      <c r="G62" s="9">
        <v>1.2</v>
      </c>
      <c r="H62" s="11">
        <f t="shared" si="0"/>
        <v>9600</v>
      </c>
      <c r="I62" s="11">
        <f>Table26[[#This Row],[Total Sales]]*1.15</f>
        <v>11040</v>
      </c>
      <c r="J62" s="7">
        <v>90</v>
      </c>
      <c r="K62" s="11"/>
      <c r="L62" s="7">
        <f ca="1">IF(TODAY() - Table26[[#This Row],[Date]] &gt; 90,Table26[[#This Row],[Total Sales w VAT]]- Table26[[#This Row],[Payment]], 0)</f>
        <v>0</v>
      </c>
      <c r="M62" s="12">
        <f t="shared" si="1"/>
        <v>46095</v>
      </c>
      <c r="N62" s="13" t="b">
        <v>0</v>
      </c>
      <c r="O62" s="7">
        <f>IF(Table26[[#This Row],[Product]]="", "", VLOOKUP(Table26[[#This Row],[Product]], [1]!Table2[#Data], 2, FALSE))</f>
        <v>0.99</v>
      </c>
      <c r="P62" s="11">
        <f>IF(Table26[[#This Row],[COGS]]="", "", Table26[[#This Row],[COGS]]*Table26[[#This Row],[Qty]])</f>
        <v>7920</v>
      </c>
      <c r="Q62" s="15">
        <f>IF(Table26[[#This Row],[COGS]]="", "", (Table26[[#This Row],[Price]]-Table26[[#This Row],[COGS]])/Table26[[#This Row],[Price]])</f>
        <v>0.17499999999999999</v>
      </c>
      <c r="R62" s="16">
        <f>IF(Table26[[#This Row],[COGS]]="", "", Table26[[#This Row],[Total Sales]]-(Table26[[#This Row],[COGS]]*Table26[[#This Row],[Qty]]))</f>
        <v>1680</v>
      </c>
    </row>
    <row r="63" spans="1:18" x14ac:dyDescent="0.2">
      <c r="A63" s="4">
        <v>46012</v>
      </c>
      <c r="B63" s="5" t="str">
        <f>TEXT(Table26[[#This Row],[Date]], "mmmm")</f>
        <v>December</v>
      </c>
      <c r="C63" s="6" t="str">
        <f>TEXT(Table26[[#This Row],[Date]], "yyyy")</f>
        <v>2025</v>
      </c>
      <c r="D63" s="7" t="s">
        <v>29</v>
      </c>
      <c r="E63" s="7" t="s">
        <v>23</v>
      </c>
      <c r="F63" s="34">
        <v>6000</v>
      </c>
      <c r="G63" s="9">
        <v>0.9</v>
      </c>
      <c r="H63" s="11">
        <f t="shared" si="0"/>
        <v>5400</v>
      </c>
      <c r="I63" s="11">
        <f>Table26[[#This Row],[Total Sales]]*1.15</f>
        <v>6209.9999999999991</v>
      </c>
      <c r="J63" s="7">
        <v>90</v>
      </c>
      <c r="K63" s="11"/>
      <c r="L63" s="7">
        <f ca="1">IF(TODAY() - Table26[[#This Row],[Date]] &gt; 90,Table26[[#This Row],[Total Sales w VAT]]- Table26[[#This Row],[Payment]], 0)</f>
        <v>0</v>
      </c>
      <c r="M63" s="12">
        <f t="shared" si="1"/>
        <v>46095</v>
      </c>
      <c r="N63" s="13" t="b">
        <v>0</v>
      </c>
      <c r="O63" s="7">
        <f>IF(Table26[[#This Row],[Product]]="", "", VLOOKUP(Table26[[#This Row],[Product]], [1]!Table2[#Data], 2, FALSE))</f>
        <v>0.57999999999999996</v>
      </c>
      <c r="P63" s="11">
        <f>IF(Table26[[#This Row],[COGS]]="", "", Table26[[#This Row],[COGS]]*Table26[[#This Row],[Qty]])</f>
        <v>3479.9999999999995</v>
      </c>
      <c r="Q63" s="15">
        <f>IF(Table26[[#This Row],[COGS]]="", "", (Table26[[#This Row],[Price]]-Table26[[#This Row],[COGS]])/Table26[[#This Row],[Price]])</f>
        <v>0.35555555555555562</v>
      </c>
      <c r="R63" s="16">
        <f>IF(Table26[[#This Row],[COGS]]="", "", Table26[[#This Row],[Total Sales]]-(Table26[[#This Row],[COGS]]*Table26[[#This Row],[Qty]]))</f>
        <v>1920.0000000000005</v>
      </c>
    </row>
    <row r="64" spans="1:18" x14ac:dyDescent="0.2">
      <c r="A64" s="4">
        <v>46018</v>
      </c>
      <c r="B64" s="5" t="str">
        <f>TEXT(Table26[[#This Row],[Date]], "mmmm")</f>
        <v>December</v>
      </c>
      <c r="C64" s="6" t="str">
        <f>TEXT(Table26[[#This Row],[Date]], "yyyy")</f>
        <v>2025</v>
      </c>
      <c r="D64" s="7" t="s">
        <v>19</v>
      </c>
      <c r="E64" s="7"/>
      <c r="F64" s="34"/>
      <c r="G64" s="9"/>
      <c r="H64" s="11">
        <f t="shared" si="0"/>
        <v>0</v>
      </c>
      <c r="I64" s="11">
        <f>Table26[[#This Row],[Total Sales]]*1.15</f>
        <v>0</v>
      </c>
      <c r="J64" s="7"/>
      <c r="K64" s="35">
        <v>25000</v>
      </c>
      <c r="L64" s="36">
        <f ca="1">IF(TODAY() - Table26[[#This Row],[Date]] &gt; 90,Table26[[#This Row],[Total Sales w VAT]]- Table26[[#This Row],[Payment]], 0)</f>
        <v>0</v>
      </c>
      <c r="M64" s="37">
        <f t="shared" si="1"/>
        <v>46011</v>
      </c>
      <c r="N64" s="38" t="b">
        <v>0</v>
      </c>
      <c r="O64" s="36" t="str">
        <f>IF(Table26[[#This Row],[Product]]="", "", VLOOKUP(Table26[[#This Row],[Product]], [1]!Table2[#Data], 2, FALSE))</f>
        <v/>
      </c>
      <c r="P64" s="35" t="str">
        <f>IF(Table26[[#This Row],[COGS]]="", "", Table26[[#This Row],[COGS]]*Table26[[#This Row],[Qty]])</f>
        <v/>
      </c>
      <c r="Q64" s="15" t="str">
        <f>IF(Table26[[#This Row],[COGS]]="", "", (Table26[[#This Row],[Price]]-Table26[[#This Row],[COGS]])/Table26[[#This Row],[Price]])</f>
        <v/>
      </c>
      <c r="R64" s="16" t="str">
        <f>IF(Table26[[#This Row],[COGS]]="", "", Table26[[#This Row],[Total Sales]]-(Table26[[#This Row],[COGS]]*Table26[[#This Row],[Qty]]))</f>
        <v/>
      </c>
    </row>
    <row r="65" spans="1:18" x14ac:dyDescent="0.2">
      <c r="A65" s="4">
        <v>46018</v>
      </c>
      <c r="B65" s="5" t="str">
        <f>TEXT(Table26[[#This Row],[Date]], "mmmm")</f>
        <v>December</v>
      </c>
      <c r="C65" s="6" t="str">
        <f>TEXT(Table26[[#This Row],[Date]], "yyyy")</f>
        <v>2025</v>
      </c>
      <c r="D65" s="7" t="s">
        <v>19</v>
      </c>
      <c r="E65" s="7" t="s">
        <v>27</v>
      </c>
      <c r="F65" s="34">
        <v>20000</v>
      </c>
      <c r="G65" s="9">
        <v>1.3</v>
      </c>
      <c r="H65" s="11">
        <f t="shared" si="0"/>
        <v>26000</v>
      </c>
      <c r="I65" s="11">
        <f>Table26[[#This Row],[Total Sales]]*1.15</f>
        <v>29899.999999999996</v>
      </c>
      <c r="J65" s="7">
        <v>90</v>
      </c>
      <c r="K65" s="35"/>
      <c r="L65" s="36">
        <f ca="1">IF(TODAY() - Table26[[#This Row],[Date]] &gt; 90,Table26[[#This Row],[Total Sales w VAT]]- Table26[[#This Row],[Payment]], 0)</f>
        <v>0</v>
      </c>
      <c r="M65" s="37">
        <f t="shared" si="1"/>
        <v>46101</v>
      </c>
      <c r="N65" s="38" t="b">
        <v>0</v>
      </c>
      <c r="O65" s="36">
        <f>IF(Table26[[#This Row],[Product]]="", "", VLOOKUP(Table26[[#This Row],[Product]], [1]!Table2[#Data], 2, FALSE))</f>
        <v>1.08</v>
      </c>
      <c r="P65" s="35">
        <f>IF(Table26[[#This Row],[COGS]]="", "", Table26[[#This Row],[COGS]]*Table26[[#This Row],[Qty]])</f>
        <v>21600</v>
      </c>
      <c r="Q65" s="15">
        <f>IF(Table26[[#This Row],[COGS]]="", "", (Table26[[#This Row],[Price]]-Table26[[#This Row],[COGS]])/Table26[[#This Row],[Price]])</f>
        <v>0.16923076923076921</v>
      </c>
      <c r="R65" s="16">
        <f>IF(Table26[[#This Row],[COGS]]="", "", Table26[[#This Row],[Total Sales]]-(Table26[[#This Row],[COGS]]*Table26[[#This Row],[Qty]]))</f>
        <v>4400</v>
      </c>
    </row>
    <row r="66" spans="1:18" x14ac:dyDescent="0.2">
      <c r="A66" s="4">
        <v>46023</v>
      </c>
      <c r="B66" s="5" t="str">
        <f>TEXT(Table26[[#This Row],[Date]], "mmmm")</f>
        <v>January</v>
      </c>
      <c r="C66" s="6" t="str">
        <f>TEXT(Table26[[#This Row],[Date]], "yyyy")</f>
        <v>2026</v>
      </c>
      <c r="D66" s="7" t="s">
        <v>19</v>
      </c>
      <c r="E66" s="7" t="s">
        <v>27</v>
      </c>
      <c r="F66" s="34">
        <v>20000</v>
      </c>
      <c r="G66" s="9">
        <v>1.3</v>
      </c>
      <c r="H66" s="11">
        <f t="shared" si="0"/>
        <v>26000</v>
      </c>
      <c r="I66" s="11">
        <f>Table26[[#This Row],[Total Sales]]*1.15</f>
        <v>29899.999999999996</v>
      </c>
      <c r="J66" s="7">
        <v>90</v>
      </c>
      <c r="K66" s="35"/>
      <c r="L66" s="36">
        <f ca="1">IF(TODAY() - Table26[[#This Row],[Date]] &gt; 90,Table26[[#This Row],[Total Sales w VAT]]- Table26[[#This Row],[Payment]], 0)</f>
        <v>0</v>
      </c>
      <c r="M66" s="37">
        <f t="shared" si="1"/>
        <v>46106</v>
      </c>
      <c r="N66" s="38" t="b">
        <v>0</v>
      </c>
      <c r="O66" s="36">
        <f>IF(Table26[[#This Row],[Product]]="", "", VLOOKUP(Table26[[#This Row],[Product]], [1]!Table2[#Data], 2, FALSE))</f>
        <v>1.08</v>
      </c>
      <c r="P66" s="35">
        <f>IF(Table26[[#This Row],[COGS]]="", "", Table26[[#This Row],[COGS]]*Table26[[#This Row],[Qty]])</f>
        <v>21600</v>
      </c>
      <c r="Q66" s="15">
        <f>IF(Table26[[#This Row],[COGS]]="", "", (Table26[[#This Row],[Price]]-Table26[[#This Row],[COGS]])/Table26[[#This Row],[Price]])</f>
        <v>0.16923076923076921</v>
      </c>
      <c r="R66" s="16">
        <f>IF(Table26[[#This Row],[COGS]]="", "", Table26[[#This Row],[Total Sales]]-(Table26[[#This Row],[COGS]]*Table26[[#This Row],[Qty]]))</f>
        <v>4400</v>
      </c>
    </row>
    <row r="67" spans="1:18" x14ac:dyDescent="0.2">
      <c r="A67" s="4">
        <v>46026</v>
      </c>
      <c r="B67" s="5" t="str">
        <f>TEXT(Table26[[#This Row],[Date]], "mmmm")</f>
        <v>January</v>
      </c>
      <c r="C67" s="6" t="str">
        <f>TEXT(Table26[[#This Row],[Date]], "yyyy")</f>
        <v>2026</v>
      </c>
      <c r="D67" s="7" t="s">
        <v>19</v>
      </c>
      <c r="E67" s="7"/>
      <c r="F67" s="34"/>
      <c r="G67" s="9"/>
      <c r="H67" s="11">
        <f t="shared" si="0"/>
        <v>0</v>
      </c>
      <c r="I67" s="11">
        <f>Table26[[#This Row],[Total Sales]]*1.15</f>
        <v>0</v>
      </c>
      <c r="J67" s="7"/>
      <c r="K67" s="35">
        <v>18000</v>
      </c>
      <c r="L67" s="36">
        <f ca="1">IF(TODAY() - Table26[[#This Row],[Date]] &gt; 90,Table26[[#This Row],[Total Sales w VAT]]- Table26[[#This Row],[Payment]], 0)</f>
        <v>0</v>
      </c>
      <c r="M67" s="37">
        <f t="shared" si="1"/>
        <v>46019</v>
      </c>
      <c r="N67" s="38" t="b">
        <v>0</v>
      </c>
      <c r="O67" s="36" t="str">
        <f>IF(Table26[[#This Row],[Product]]="", "", VLOOKUP(Table26[[#This Row],[Product]], [1]!Table2[#Data], 2, FALSE))</f>
        <v/>
      </c>
      <c r="P67" s="35" t="str">
        <f>IF(Table26[[#This Row],[COGS]]="", "", Table26[[#This Row],[COGS]]*Table26[[#This Row],[Qty]])</f>
        <v/>
      </c>
      <c r="Q67" s="15" t="str">
        <f>IF(Table26[[#This Row],[COGS]]="", "", (Table26[[#This Row],[Price]]-Table26[[#This Row],[COGS]])/Table26[[#This Row],[Price]])</f>
        <v/>
      </c>
      <c r="R67" s="16" t="str">
        <f>IF(Table26[[#This Row],[COGS]]="", "", Table26[[#This Row],[Total Sales]]-(Table26[[#This Row],[COGS]]*Table26[[#This Row],[Qty]]))</f>
        <v/>
      </c>
    </row>
    <row r="68" spans="1:18" x14ac:dyDescent="0.2">
      <c r="A68" s="4">
        <v>46033</v>
      </c>
      <c r="B68" s="5" t="str">
        <f>TEXT(Table26[[#This Row],[Date]], "mmmm")</f>
        <v>January</v>
      </c>
      <c r="C68" s="6" t="str">
        <f>TEXT(Table26[[#This Row],[Date]], "yyyy")</f>
        <v>2026</v>
      </c>
      <c r="D68" s="7" t="s">
        <v>19</v>
      </c>
      <c r="E68" s="7" t="s">
        <v>27</v>
      </c>
      <c r="F68" s="34">
        <v>15000</v>
      </c>
      <c r="G68" s="9">
        <v>1.3</v>
      </c>
      <c r="H68" s="11">
        <f t="shared" ref="H68:H78" si="2">F68*G68</f>
        <v>19500</v>
      </c>
      <c r="I68" s="11">
        <f>Table26[[#This Row],[Total Sales]]*1.15</f>
        <v>22425</v>
      </c>
      <c r="J68" s="7">
        <v>90</v>
      </c>
      <c r="K68" s="35"/>
      <c r="L68" s="36">
        <f ca="1">IF(TODAY() - Table26[[#This Row],[Date]] &gt; 90,Table26[[#This Row],[Total Sales w VAT]]- Table26[[#This Row],[Payment]], 0)</f>
        <v>0</v>
      </c>
      <c r="M68" s="37">
        <f t="shared" ref="M68:M78" si="3">A68+(J68-7)</f>
        <v>46116</v>
      </c>
      <c r="N68" s="38" t="b">
        <v>0</v>
      </c>
      <c r="O68" s="36">
        <f>IF(Table26[[#This Row],[Product]]="", "", VLOOKUP(Table26[[#This Row],[Product]], [1]!Table2[#Data], 2, FALSE))</f>
        <v>1.08</v>
      </c>
      <c r="P68" s="35">
        <f>IF(Table26[[#This Row],[COGS]]="", "", Table26[[#This Row],[COGS]]*Table26[[#This Row],[Qty]])</f>
        <v>16200.000000000002</v>
      </c>
      <c r="Q68" s="15">
        <f>IF(Table26[[#This Row],[COGS]]="", "", (Table26[[#This Row],[Price]]-Table26[[#This Row],[COGS]])/Table26[[#This Row],[Price]])</f>
        <v>0.16923076923076921</v>
      </c>
      <c r="R68" s="16">
        <f>IF(Table26[[#This Row],[COGS]]="", "", Table26[[#This Row],[Total Sales]]-(Table26[[#This Row],[COGS]]*Table26[[#This Row],[Qty]]))</f>
        <v>3299.9999999999982</v>
      </c>
    </row>
    <row r="69" spans="1:18" x14ac:dyDescent="0.2">
      <c r="A69" s="4">
        <v>46034</v>
      </c>
      <c r="B69" s="5" t="str">
        <f>TEXT(Table26[[#This Row],[Date]], "mmmm")</f>
        <v>January</v>
      </c>
      <c r="C69" s="6" t="str">
        <f>TEXT(Table26[[#This Row],[Date]], "yyyy")</f>
        <v>2026</v>
      </c>
      <c r="D69" s="7" t="s">
        <v>19</v>
      </c>
      <c r="E69" s="7"/>
      <c r="F69" s="34"/>
      <c r="G69" s="9"/>
      <c r="H69" s="11">
        <f t="shared" si="2"/>
        <v>0</v>
      </c>
      <c r="I69" s="11">
        <f>Table26[[#This Row],[Total Sales]]*1.15</f>
        <v>0</v>
      </c>
      <c r="J69" s="7"/>
      <c r="K69" s="35">
        <v>15000</v>
      </c>
      <c r="L69" s="36">
        <f ca="1">IF(TODAY() - Table26[[#This Row],[Date]] &gt; 90,Table26[[#This Row],[Total Sales w VAT]]- Table26[[#This Row],[Payment]], 0)</f>
        <v>0</v>
      </c>
      <c r="M69" s="37">
        <f t="shared" si="3"/>
        <v>46027</v>
      </c>
      <c r="N69" s="38" t="b">
        <v>0</v>
      </c>
      <c r="O69" s="36" t="str">
        <f>IF(Table26[[#This Row],[Product]]="", "", VLOOKUP(Table26[[#This Row],[Product]], [1]!Table2[#Data], 2, FALSE))</f>
        <v/>
      </c>
      <c r="P69" s="35" t="str">
        <f>IF(Table26[[#This Row],[COGS]]="", "", Table26[[#This Row],[COGS]]*Table26[[#This Row],[Qty]])</f>
        <v/>
      </c>
      <c r="Q69" s="15" t="str">
        <f>IF(Table26[[#This Row],[COGS]]="", "", (Table26[[#This Row],[Price]]-Table26[[#This Row],[COGS]])/Table26[[#This Row],[Price]])</f>
        <v/>
      </c>
      <c r="R69" s="16" t="str">
        <f>IF(Table26[[#This Row],[COGS]]="", "", Table26[[#This Row],[Total Sales]]-(Table26[[#This Row],[COGS]]*Table26[[#This Row],[Qty]]))</f>
        <v/>
      </c>
    </row>
    <row r="70" spans="1:18" x14ac:dyDescent="0.2">
      <c r="A70" s="4">
        <v>46036</v>
      </c>
      <c r="B70" s="5" t="str">
        <f>TEXT(Table26[[#This Row],[Date]], "mmmm")</f>
        <v>January</v>
      </c>
      <c r="C70" s="6" t="str">
        <f>TEXT(Table26[[#This Row],[Date]], "yyyy")</f>
        <v>2026</v>
      </c>
      <c r="D70" s="7" t="s">
        <v>25</v>
      </c>
      <c r="E70" s="7" t="s">
        <v>26</v>
      </c>
      <c r="F70" s="34">
        <v>1000</v>
      </c>
      <c r="G70" s="9">
        <v>3</v>
      </c>
      <c r="H70" s="11">
        <f t="shared" si="2"/>
        <v>3000</v>
      </c>
      <c r="I70" s="11">
        <f>Table26[[#This Row],[Total Sales]]*1.15</f>
        <v>3449.9999999999995</v>
      </c>
      <c r="J70" s="7">
        <v>0</v>
      </c>
      <c r="K70" s="35"/>
      <c r="L70" s="36">
        <f ca="1">IF(TODAY() - Table26[[#This Row],[Date]] &gt; 90,Table26[[#This Row],[Total Sales w VAT]]- Table26[[#This Row],[Payment]], 0)</f>
        <v>0</v>
      </c>
      <c r="M70" s="37">
        <f t="shared" si="3"/>
        <v>46029</v>
      </c>
      <c r="N70" s="38" t="b">
        <v>0</v>
      </c>
      <c r="O70" s="36">
        <f>IF(Table26[[#This Row],[Product]]="", "", VLOOKUP(Table26[[#This Row],[Product]], [1]!Table2[#Data], 2, FALSE))</f>
        <v>1.82</v>
      </c>
      <c r="P70" s="35">
        <f>IF(Table26[[#This Row],[COGS]]="", "", Table26[[#This Row],[COGS]]*Table26[[#This Row],[Qty]])</f>
        <v>1820</v>
      </c>
      <c r="Q70" s="15">
        <f>IF(Table26[[#This Row],[COGS]]="", "", (Table26[[#This Row],[Price]]-Table26[[#This Row],[COGS]])/Table26[[#This Row],[Price]])</f>
        <v>0.39333333333333331</v>
      </c>
      <c r="R70" s="16">
        <f>IF(Table26[[#This Row],[COGS]]="", "", Table26[[#This Row],[Total Sales]]-(Table26[[#This Row],[COGS]]*Table26[[#This Row],[Qty]]))</f>
        <v>1180</v>
      </c>
    </row>
    <row r="71" spans="1:18" x14ac:dyDescent="0.2">
      <c r="A71" s="4">
        <v>46036</v>
      </c>
      <c r="B71" s="5" t="str">
        <f>TEXT(Table26[[#This Row],[Date]], "mmmm")</f>
        <v>January</v>
      </c>
      <c r="C71" s="6" t="str">
        <f>TEXT(Table26[[#This Row],[Date]], "yyyy")</f>
        <v>2026</v>
      </c>
      <c r="D71" s="7" t="s">
        <v>25</v>
      </c>
      <c r="E71" s="7"/>
      <c r="F71" s="34"/>
      <c r="G71" s="9"/>
      <c r="H71" s="11">
        <f t="shared" si="2"/>
        <v>0</v>
      </c>
      <c r="I71" s="11">
        <f>Table26[[#This Row],[Total Sales]]*1.15</f>
        <v>0</v>
      </c>
      <c r="J71" s="7"/>
      <c r="K71" s="35">
        <v>3450</v>
      </c>
      <c r="L71" s="36">
        <f ca="1">IF(TODAY() - Table26[[#This Row],[Date]] &gt; 90,Table26[[#This Row],[Total Sales w VAT]]- Table26[[#This Row],[Payment]], 0)</f>
        <v>0</v>
      </c>
      <c r="M71" s="37">
        <f t="shared" si="3"/>
        <v>46029</v>
      </c>
      <c r="N71" s="38" t="b">
        <v>0</v>
      </c>
      <c r="O71" s="36" t="str">
        <f>IF(Table26[[#This Row],[Product]]="", "", VLOOKUP(Table26[[#This Row],[Product]], [1]!Table2[#Data], 2, FALSE))</f>
        <v/>
      </c>
      <c r="P71" s="35" t="str">
        <f>IF(Table26[[#This Row],[COGS]]="", "", Table26[[#This Row],[COGS]]*Table26[[#This Row],[Qty]])</f>
        <v/>
      </c>
      <c r="Q71" s="15" t="str">
        <f>IF(Table26[[#This Row],[COGS]]="", "", (Table26[[#This Row],[Price]]-Table26[[#This Row],[COGS]])/Table26[[#This Row],[Price]])</f>
        <v/>
      </c>
      <c r="R71" s="16" t="str">
        <f>IF(Table26[[#This Row],[COGS]]="", "", Table26[[#This Row],[Total Sales]]-(Table26[[#This Row],[COGS]]*Table26[[#This Row],[Qty]]))</f>
        <v/>
      </c>
    </row>
    <row r="72" spans="1:18" x14ac:dyDescent="0.2">
      <c r="A72" s="4">
        <v>46037</v>
      </c>
      <c r="B72" s="5" t="str">
        <f>TEXT(Table26[[#This Row],[Date]], "mmmm")</f>
        <v>January</v>
      </c>
      <c r="C72" s="6" t="str">
        <f>TEXT(Table26[[#This Row],[Date]], "yyyy")</f>
        <v>2026</v>
      </c>
      <c r="D72" s="7" t="s">
        <v>29</v>
      </c>
      <c r="E72" s="7" t="s">
        <v>22</v>
      </c>
      <c r="F72" s="34">
        <v>4000</v>
      </c>
      <c r="G72" s="9">
        <v>1.2</v>
      </c>
      <c r="H72" s="11">
        <f t="shared" si="2"/>
        <v>4800</v>
      </c>
      <c r="I72" s="11">
        <f>Table26[[#This Row],[Total Sales]]*1.15</f>
        <v>5520</v>
      </c>
      <c r="J72" s="7">
        <v>90</v>
      </c>
      <c r="K72" s="35"/>
      <c r="L72" s="36">
        <f ca="1">IF(TODAY() - Table26[[#This Row],[Date]] &gt; 90,Table26[[#This Row],[Total Sales w VAT]]- Table26[[#This Row],[Payment]], 0)</f>
        <v>0</v>
      </c>
      <c r="M72" s="37">
        <f t="shared" si="3"/>
        <v>46120</v>
      </c>
      <c r="N72" s="38" t="b">
        <v>0</v>
      </c>
      <c r="O72" s="36">
        <f>IF(Table26[[#This Row],[Product]]="", "", VLOOKUP(Table26[[#This Row],[Product]], [1]!Table2[#Data], 2, FALSE))</f>
        <v>0.99</v>
      </c>
      <c r="P72" s="35">
        <f>IF(Table26[[#This Row],[COGS]]="", "", Table26[[#This Row],[COGS]]*Table26[[#This Row],[Qty]])</f>
        <v>3960</v>
      </c>
      <c r="Q72" s="15">
        <f>IF(Table26[[#This Row],[COGS]]="", "", (Table26[[#This Row],[Price]]-Table26[[#This Row],[COGS]])/Table26[[#This Row],[Price]])</f>
        <v>0.17499999999999999</v>
      </c>
      <c r="R72" s="16">
        <f>IF(Table26[[#This Row],[COGS]]="", "", Table26[[#This Row],[Total Sales]]-(Table26[[#This Row],[COGS]]*Table26[[#This Row],[Qty]]))</f>
        <v>840</v>
      </c>
    </row>
    <row r="73" spans="1:18" x14ac:dyDescent="0.2">
      <c r="A73" s="4">
        <v>46041</v>
      </c>
      <c r="B73" s="5" t="str">
        <f>TEXT(Table26[[#This Row],[Date]], "mmmm")</f>
        <v>January</v>
      </c>
      <c r="C73" s="6" t="str">
        <f>TEXT(Table26[[#This Row],[Date]], "yyyy")</f>
        <v>2026</v>
      </c>
      <c r="D73" s="7" t="s">
        <v>19</v>
      </c>
      <c r="E73" s="7" t="s">
        <v>27</v>
      </c>
      <c r="F73" s="34">
        <v>5000</v>
      </c>
      <c r="G73" s="9">
        <v>1.3</v>
      </c>
      <c r="H73" s="11">
        <f t="shared" si="2"/>
        <v>6500</v>
      </c>
      <c r="I73" s="11">
        <f>Table26[[#This Row],[Total Sales]]*1.15</f>
        <v>7474.9999999999991</v>
      </c>
      <c r="J73" s="7">
        <v>90</v>
      </c>
      <c r="K73" s="35"/>
      <c r="L73" s="36">
        <f ca="1">IF(TODAY() - Table26[[#This Row],[Date]] &gt; 90,Table26[[#This Row],[Total Sales w VAT]]- Table26[[#This Row],[Payment]], 0)</f>
        <v>0</v>
      </c>
      <c r="M73" s="37">
        <f t="shared" si="3"/>
        <v>46124</v>
      </c>
      <c r="N73" s="38" t="b">
        <v>0</v>
      </c>
      <c r="O73" s="36">
        <f>IF(Table26[[#This Row],[Product]]="", "", VLOOKUP(Table26[[#This Row],[Product]], [1]!Table2[#Data], 2, FALSE))</f>
        <v>1.08</v>
      </c>
      <c r="P73" s="35">
        <f>IF(Table26[[#This Row],[COGS]]="", "", Table26[[#This Row],[COGS]]*Table26[[#This Row],[Qty]])</f>
        <v>5400</v>
      </c>
      <c r="Q73" s="15">
        <f>IF(Table26[[#This Row],[COGS]]="", "", (Table26[[#This Row],[Price]]-Table26[[#This Row],[COGS]])/Table26[[#This Row],[Price]])</f>
        <v>0.16923076923076921</v>
      </c>
      <c r="R73" s="16">
        <f>IF(Table26[[#This Row],[COGS]]="", "", Table26[[#This Row],[Total Sales]]-(Table26[[#This Row],[COGS]]*Table26[[#This Row],[Qty]]))</f>
        <v>1100</v>
      </c>
    </row>
    <row r="74" spans="1:18" x14ac:dyDescent="0.2">
      <c r="A74" s="4">
        <v>46041</v>
      </c>
      <c r="B74" s="5" t="str">
        <f>TEXT(Table26[[#This Row],[Date]], "mmmm")</f>
        <v>January</v>
      </c>
      <c r="C74" s="6" t="str">
        <f>TEXT(Table26[[#This Row],[Date]], "yyyy")</f>
        <v>2026</v>
      </c>
      <c r="D74" s="7" t="s">
        <v>19</v>
      </c>
      <c r="E74" s="7" t="s">
        <v>33</v>
      </c>
      <c r="F74" s="34">
        <v>2000</v>
      </c>
      <c r="G74" s="9">
        <v>1</v>
      </c>
      <c r="H74" s="11">
        <f t="shared" si="2"/>
        <v>2000</v>
      </c>
      <c r="I74" s="11">
        <f>Table26[[#This Row],[Total Sales]]*1.15</f>
        <v>2300</v>
      </c>
      <c r="J74" s="7">
        <v>90</v>
      </c>
      <c r="K74" s="35"/>
      <c r="L74" s="36">
        <f ca="1">IF(TODAY() - Table26[[#This Row],[Date]] &gt; 90,Table26[[#This Row],[Total Sales w VAT]]- Table26[[#This Row],[Payment]], 0)</f>
        <v>0</v>
      </c>
      <c r="M74" s="37">
        <f t="shared" si="3"/>
        <v>46124</v>
      </c>
      <c r="N74" s="38" t="b">
        <v>0</v>
      </c>
      <c r="O74" s="36">
        <f>IF(Table26[[#This Row],[Product]]="", "", VLOOKUP(Table26[[#This Row],[Product]], [1]!Table2[#Data], 2, FALSE))</f>
        <v>0.67</v>
      </c>
      <c r="P74" s="35">
        <f>IF(Table26[[#This Row],[COGS]]="", "", Table26[[#This Row],[COGS]]*Table26[[#This Row],[Qty]])</f>
        <v>1340</v>
      </c>
      <c r="Q74" s="15">
        <f>IF(Table26[[#This Row],[COGS]]="", "", (Table26[[#This Row],[Price]]-Table26[[#This Row],[COGS]])/Table26[[#This Row],[Price]])</f>
        <v>0.32999999999999996</v>
      </c>
      <c r="R74" s="16">
        <f>IF(Table26[[#This Row],[COGS]]="", "", Table26[[#This Row],[Total Sales]]-(Table26[[#This Row],[COGS]]*Table26[[#This Row],[Qty]]))</f>
        <v>660</v>
      </c>
    </row>
    <row r="75" spans="1:18" x14ac:dyDescent="0.2">
      <c r="A75" s="4">
        <v>46041</v>
      </c>
      <c r="B75" s="5" t="str">
        <f>TEXT(Table26[[#This Row],[Date]], "mmmm")</f>
        <v>January</v>
      </c>
      <c r="C75" s="6" t="str">
        <f>TEXT(Table26[[#This Row],[Date]], "yyyy")</f>
        <v>2026</v>
      </c>
      <c r="D75" s="7" t="s">
        <v>19</v>
      </c>
      <c r="E75" s="7"/>
      <c r="F75" s="34"/>
      <c r="G75" s="9"/>
      <c r="H75" s="11">
        <f t="shared" si="2"/>
        <v>0</v>
      </c>
      <c r="I75" s="11">
        <f>Table26[[#This Row],[Total Sales]]*1.15</f>
        <v>0</v>
      </c>
      <c r="J75" s="7"/>
      <c r="K75" s="35">
        <v>15000</v>
      </c>
      <c r="L75" s="36">
        <f ca="1">IF(TODAY() - Table26[[#This Row],[Date]] &gt; 90,Table26[[#This Row],[Total Sales w VAT]]- Table26[[#This Row],[Payment]], 0)</f>
        <v>0</v>
      </c>
      <c r="M75" s="37">
        <f t="shared" si="3"/>
        <v>46034</v>
      </c>
      <c r="N75" s="38" t="b">
        <v>0</v>
      </c>
      <c r="O75" s="36" t="str">
        <f>IF(Table26[[#This Row],[Product]]="", "", VLOOKUP(Table26[[#This Row],[Product]], [1]!Table2[#Data], 2, FALSE))</f>
        <v/>
      </c>
      <c r="P75" s="35" t="str">
        <f>IF(Table26[[#This Row],[COGS]]="", "", Table26[[#This Row],[COGS]]*Table26[[#This Row],[Qty]])</f>
        <v/>
      </c>
      <c r="Q75" s="15" t="str">
        <f>IF(Table26[[#This Row],[COGS]]="", "", (Table26[[#This Row],[Price]]-Table26[[#This Row],[COGS]])/Table26[[#This Row],[Price]])</f>
        <v/>
      </c>
      <c r="R75" s="16" t="str">
        <f>IF(Table26[[#This Row],[COGS]]="", "", Table26[[#This Row],[Total Sales]]-(Table26[[#This Row],[COGS]]*Table26[[#This Row],[Qty]]))</f>
        <v/>
      </c>
    </row>
    <row r="76" spans="1:18" x14ac:dyDescent="0.2">
      <c r="A76" s="4">
        <v>46043</v>
      </c>
      <c r="B76" s="39" t="str">
        <f>TEXT(Table26[[#This Row],[Date]], "mmmm")</f>
        <v>January</v>
      </c>
      <c r="C76" s="6" t="str">
        <f>TEXT(Table26[[#This Row],[Date]], "yyyy")</f>
        <v>2026</v>
      </c>
      <c r="D76" s="7" t="s">
        <v>29</v>
      </c>
      <c r="E76" s="7"/>
      <c r="F76" s="34"/>
      <c r="G76" s="9"/>
      <c r="H76" s="11">
        <f t="shared" si="2"/>
        <v>0</v>
      </c>
      <c r="I76" s="11">
        <f>Table26[[#This Row],[Total Sales]]*1.15</f>
        <v>0</v>
      </c>
      <c r="J76" s="7"/>
      <c r="K76" s="35">
        <v>20000</v>
      </c>
      <c r="L76" s="40">
        <f ca="1">IF(TODAY() - Table26[[#This Row],[Date]] &gt; 90,Table26[[#This Row],[Total Sales w VAT]]- Table26[[#This Row],[Payment]], 0)</f>
        <v>0</v>
      </c>
      <c r="M76" s="12">
        <f t="shared" si="3"/>
        <v>46036</v>
      </c>
      <c r="N76" s="13" t="b">
        <v>0</v>
      </c>
      <c r="O76" s="7" t="str">
        <f>IF(Table26[[#This Row],[Product]]="", "", VLOOKUP(Table26[[#This Row],[Product]], [1]!Table2[#Data], 2, FALSE))</f>
        <v/>
      </c>
      <c r="P76" s="41" t="str">
        <f>IF(Table26[[#This Row],[COGS]]="", "", Table26[[#This Row],[COGS]]*Table26[[#This Row],[Qty]])</f>
        <v/>
      </c>
      <c r="Q76" s="15" t="str">
        <f>IF(Table26[[#This Row],[COGS]]="", "", (Table26[[#This Row],[Price]]-Table26[[#This Row],[COGS]])/Table26[[#This Row],[Price]])</f>
        <v/>
      </c>
      <c r="R76" s="16" t="str">
        <f>IF(Table26[[#This Row],[COGS]]="", "", Table26[[#This Row],[Total Sales]]-(Table26[[#This Row],[COGS]]*Table26[[#This Row],[Qty]]))</f>
        <v/>
      </c>
    </row>
    <row r="77" spans="1:18" x14ac:dyDescent="0.2">
      <c r="A77" s="4">
        <v>46048</v>
      </c>
      <c r="B77" s="39" t="str">
        <f>TEXT(Table26[[#This Row],[Date]], "mmmm")</f>
        <v>January</v>
      </c>
      <c r="C77" s="6" t="str">
        <f>TEXT(Table26[[#This Row],[Date]], "yyyy")</f>
        <v>2026</v>
      </c>
      <c r="D77" s="7" t="s">
        <v>19</v>
      </c>
      <c r="E77" s="7" t="s">
        <v>27</v>
      </c>
      <c r="F77" s="34">
        <v>8000</v>
      </c>
      <c r="G77" s="9">
        <v>1.3</v>
      </c>
      <c r="H77" s="11">
        <f t="shared" si="2"/>
        <v>10400</v>
      </c>
      <c r="I77" s="11">
        <f>Table26[[#This Row],[Total Sales]]*1.15</f>
        <v>11959.999999999998</v>
      </c>
      <c r="J77" s="7">
        <v>90</v>
      </c>
      <c r="K77" s="41"/>
      <c r="L77" s="40">
        <f ca="1">IF(TODAY() - Table26[[#This Row],[Date]] &gt; 90,Table26[[#This Row],[Total Sales w VAT]]- Table26[[#This Row],[Payment]], 0)</f>
        <v>0</v>
      </c>
      <c r="M77" s="12">
        <f t="shared" si="3"/>
        <v>46131</v>
      </c>
      <c r="N77" s="13" t="b">
        <v>0</v>
      </c>
      <c r="O77" s="7">
        <f>IF(Table26[[#This Row],[Product]]="", "", VLOOKUP(Table26[[#This Row],[Product]], [1]!Table2[#Data], 2, FALSE))</f>
        <v>1.08</v>
      </c>
      <c r="P77" s="41">
        <f>IF(Table26[[#This Row],[COGS]]="", "", Table26[[#This Row],[COGS]]*Table26[[#This Row],[Qty]])</f>
        <v>8640</v>
      </c>
      <c r="Q77" s="15">
        <f>IF(Table26[[#This Row],[COGS]]="", "", (Table26[[#This Row],[Price]]-Table26[[#This Row],[COGS]])/Table26[[#This Row],[Price]])</f>
        <v>0.16923076923076921</v>
      </c>
      <c r="R77" s="16">
        <f>IF(Table26[[#This Row],[COGS]]="", "", Table26[[#This Row],[Total Sales]]-(Table26[[#This Row],[COGS]]*Table26[[#This Row],[Qty]]))</f>
        <v>1760</v>
      </c>
    </row>
    <row r="78" spans="1:18" x14ac:dyDescent="0.2">
      <c r="A78" s="4">
        <v>46048</v>
      </c>
      <c r="B78" s="39" t="str">
        <f>TEXT(Table26[[#This Row],[Date]], "mmmm")</f>
        <v>January</v>
      </c>
      <c r="C78" s="6" t="str">
        <f>TEXT(Table26[[#This Row],[Date]], "yyyy")</f>
        <v>2026</v>
      </c>
      <c r="D78" s="7" t="s">
        <v>19</v>
      </c>
      <c r="E78" s="7"/>
      <c r="F78" s="34"/>
      <c r="G78" s="9"/>
      <c r="H78" s="11">
        <f t="shared" si="2"/>
        <v>0</v>
      </c>
      <c r="I78" s="11">
        <f>Table26[[#This Row],[Total Sales]]*1.15</f>
        <v>0</v>
      </c>
      <c r="J78" s="7"/>
      <c r="K78" s="41">
        <v>20000</v>
      </c>
      <c r="L78" s="40">
        <f ca="1">IF(TODAY() - Table26[[#This Row],[Date]] &gt; 90,Table26[[#This Row],[Total Sales w VAT]]- Table26[[#This Row],[Payment]], 0)</f>
        <v>0</v>
      </c>
      <c r="M78" s="12">
        <f t="shared" si="3"/>
        <v>46041</v>
      </c>
      <c r="N78" s="13" t="b">
        <v>0</v>
      </c>
      <c r="O78" s="7" t="str">
        <f>IF(Table26[[#This Row],[Product]]="", "", VLOOKUP(Table26[[#This Row],[Product]], [1]!Table2[#Data], 2, FALSE))</f>
        <v/>
      </c>
      <c r="P78" s="41" t="str">
        <f>IF(Table26[[#This Row],[COGS]]="", "", Table26[[#This Row],[COGS]]*Table26[[#This Row],[Qty]])</f>
        <v/>
      </c>
      <c r="Q78" s="15" t="str">
        <f>IF(Table26[[#This Row],[COGS]]="", "", (Table26[[#This Row],[Price]]-Table26[[#This Row],[COGS]])/Table26[[#This Row],[Price]])</f>
        <v/>
      </c>
      <c r="R78" s="16" t="str">
        <f>IF(Table26[[#This Row],[COGS]]="", "", Table26[[#This Row],[Total Sales]]-(Table26[[#This Row],[COGS]]*Table26[[#This Row],[Qty]]))</f>
        <v/>
      </c>
    </row>
    <row r="79" spans="1:18" x14ac:dyDescent="0.2">
      <c r="A79" s="7">
        <f>SUBTOTAL(103,Table26[Date])</f>
        <v>75</v>
      </c>
      <c r="B79" s="7"/>
      <c r="C79" s="7"/>
      <c r="D79" s="7">
        <f>COUNTA(_xlfn.UNIQUE(INDEX(Table26[Account],0)))</f>
        <v>5</v>
      </c>
      <c r="E79" s="7"/>
      <c r="F79" s="42">
        <f>SUBTOTAL(109,Table26[Qty])</f>
        <v>593000</v>
      </c>
      <c r="G79" s="9">
        <f>SUBTOTAL(101,Table26[Price])</f>
        <v>1.2999999999999994</v>
      </c>
      <c r="H79" s="14">
        <f>SUBTOTAL(109,Table26[Total Sales])</f>
        <v>756650</v>
      </c>
      <c r="I79" s="14">
        <f>SUBTOTAL(109,Table26[Total Sales w VAT])</f>
        <v>870147.5</v>
      </c>
      <c r="J79" s="7"/>
      <c r="K79" s="14">
        <f>SUBTOTAL(109,Table26[Payment])</f>
        <v>206285</v>
      </c>
      <c r="L79" s="14">
        <f ca="1">SUBTOTAL(109,Table26[DueAmount])</f>
        <v>473917.5</v>
      </c>
      <c r="M79" s="7"/>
      <c r="N79" s="7">
        <f>SUBTOTAL(103,Table26[Paid])</f>
        <v>75</v>
      </c>
      <c r="O79" s="43">
        <f>SUBTOTAL(101,Table26[COGS])</f>
        <v>1.0236065573770485</v>
      </c>
      <c r="P79" s="14">
        <f>SUBTOTAL(109,Table26[Total COGS])</f>
        <v>621880</v>
      </c>
      <c r="Q79" s="44">
        <f>SUBTOTAL(101,Table26[Gross Margin])</f>
        <v>0.20651386569419355</v>
      </c>
      <c r="R79" s="14">
        <f>SUBTOTAL(109,Table26[Gross Profit])</f>
        <v>134770</v>
      </c>
    </row>
  </sheetData>
  <conditionalFormatting sqref="M4:M31">
    <cfRule type="expression" dxfId="39" priority="1" stopIfTrue="1">
      <formula>N4=TRUE</formula>
    </cfRule>
    <cfRule type="expression" dxfId="38" priority="2">
      <formula>AND(MONTH(M4)=MONTH(TODAY()), YEAR(M4)=YEAR(TODAY()), N4=FALSE)</formula>
    </cfRule>
  </conditionalFormatting>
  <pageMargins left="0.7" right="0.7" top="0.75" bottom="0.75" header="0.3" footer="0.3"/>
  <pageSetup paperSize="9" orientation="portrait" horizontalDpi="0" verticalDpi="0"/>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Orders Registry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Hassan</dc:creator>
  <cp:lastModifiedBy>Mohamed Hassan</cp:lastModifiedBy>
  <dcterms:created xsi:type="dcterms:W3CDTF">2026-01-28T12:04:12Z</dcterms:created>
  <dcterms:modified xsi:type="dcterms:W3CDTF">2026-01-28T12:04:30Z</dcterms:modified>
</cp:coreProperties>
</file>